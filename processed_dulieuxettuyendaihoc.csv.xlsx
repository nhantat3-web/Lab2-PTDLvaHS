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ba1edcac1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lieuxettuyendaihoc" sheetId="1" r:id="R10f7592b47f94d00"/>
    <x:sheet xmlns:r="http://schemas.openxmlformats.org/officeDocument/2006/relationships" name="Sheet1" sheetId="2" r:id="Rc916ec6cc6c34def"/>
  </x:sheets>
  <x:definedNames>
    <x:definedName name="ExternalData_1" localSheetId="0" hidden="1">dulieuxettuyendaihoc!$A$1:$BD$102</x:definedName>
  </x:definedNames>
</x:workbook>
</file>

<file path=xl/sharedStrings.xml><?xml version="1.0" encoding="utf-8"?>
<x:sst xmlns:x="http://schemas.openxmlformats.org/spreadsheetml/2006/main">
  <x:si>
    <x:t xml:space="preserve">Column1</x:t>
  </x:si>
  <x:si>
    <x:t xml:space="preserve">Column2</x:t>
  </x:si>
  <x:si>
    <x:t xml:space="preserve">Column3</x:t>
  </x:si>
  <x:si>
    <x:t xml:space="preserve">Column4</x:t>
  </x:si>
  <x:si>
    <x:t xml:space="preserve">Column5</x:t>
  </x:si>
  <x:si>
    <x:t xml:space="preserve">Column6</x:t>
  </x:si>
  <x:si>
    <x:t xml:space="preserve">Column7</x:t>
  </x:si>
  <x:si>
    <x:t xml:space="preserve">Column8</x:t>
  </x:si>
  <x:si>
    <x:t xml:space="preserve">Column9</x:t>
  </x:si>
  <x:si>
    <x:t xml:space="preserve">Column10</x:t>
  </x:si>
  <x:si>
    <x:t xml:space="preserve">Column11</x:t>
  </x:si>
  <x:si>
    <x:t xml:space="preserve">Column12</x:t>
  </x:si>
  <x:si>
    <x:t xml:space="preserve">Column13</x:t>
  </x:si>
  <x:si>
    <x:t xml:space="preserve">Column14</x:t>
  </x:si>
  <x:si>
    <x:t xml:space="preserve">Column15</x:t>
  </x:si>
  <x:si>
    <x:t xml:space="preserve">Column16</x:t>
  </x:si>
  <x:si>
    <x:t xml:space="preserve">Column17</x:t>
  </x:si>
  <x:si>
    <x:t xml:space="preserve">Column18</x:t>
  </x:si>
  <x:si>
    <x:t xml:space="preserve">Column19</x:t>
  </x:si>
  <x:si>
    <x:t xml:space="preserve">Column20</x:t>
  </x:si>
  <x:si>
    <x:t xml:space="preserve">Column21</x:t>
  </x:si>
  <x:si>
    <x:t xml:space="preserve">Column22</x:t>
  </x:si>
  <x:si>
    <x:t xml:space="preserve">Column23</x:t>
  </x:si>
  <x:si>
    <x:t xml:space="preserve">Column24</x:t>
  </x:si>
  <x:si>
    <x:t xml:space="preserve">Column25</x:t>
  </x:si>
  <x:si>
    <x:t xml:space="preserve">Column26</x:t>
  </x:si>
  <x:si>
    <x:t xml:space="preserve">Column27</x:t>
  </x:si>
  <x:si>
    <x:t xml:space="preserve">Column28</x:t>
  </x:si>
  <x:si>
    <x:t xml:space="preserve">Column29</x:t>
  </x:si>
  <x:si>
    <x:t xml:space="preserve">Column30</x:t>
  </x:si>
  <x:si>
    <x:t xml:space="preserve">Column31</x:t>
  </x:si>
  <x:si>
    <x:t xml:space="preserve">Column32</x:t>
  </x:si>
  <x:si>
    <x:t xml:space="preserve">Column33</x:t>
  </x:si>
  <x:si>
    <x:t xml:space="preserve">Column34</x:t>
  </x:si>
  <x:si>
    <x:t xml:space="preserve">Column35</x:t>
  </x:si>
  <x:si>
    <x:t xml:space="preserve">Column36</x:t>
  </x:si>
  <x:si>
    <x:t xml:space="preserve">Column37</x:t>
  </x:si>
  <x:si>
    <x:t xml:space="preserve">Column38</x:t>
  </x:si>
  <x:si>
    <x:t xml:space="preserve">Column39</x:t>
  </x:si>
  <x:si>
    <x:t xml:space="preserve">Column40</x:t>
  </x:si>
  <x:si>
    <x:t xml:space="preserve">Column41</x:t>
  </x:si>
  <x:si>
    <x:t xml:space="preserve">Column42</x:t>
  </x:si>
  <x:si>
    <x:t xml:space="preserve">Column43</x:t>
  </x:si>
  <x:si>
    <x:t xml:space="preserve">Column44</x:t>
  </x:si>
  <x:si>
    <x:t xml:space="preserve">Column45</x:t>
  </x:si>
  <x:si>
    <x:t xml:space="preserve">Column46</x:t>
  </x:si>
  <x:si>
    <x:t xml:space="preserve">Column47</x:t>
  </x:si>
  <x:si>
    <x:t xml:space="preserve">Column48</x:t>
  </x:si>
  <x:si>
    <x:t xml:space="preserve">Column49</x:t>
  </x:si>
  <x:si>
    <x:t xml:space="preserve">Column50</x:t>
  </x:si>
  <x:si>
    <x:t xml:space="preserve">Column51</x:t>
  </x:si>
  <x:si>
    <x:t xml:space="preserve">Column52</x:t>
  </x:si>
  <x:si>
    <x:t xml:space="preserve">Column53</x:t>
  </x:si>
  <x:si>
    <x:t xml:space="preserve">Column54</x:t>
  </x:si>
  <x:si>
    <x:t xml:space="preserve">Column55</x:t>
  </x:si>
  <x:si>
    <x:t xml:space="preserve">Column56</x:t>
  </x:si>
  <x:si>
    <x:t xml:space="preserve">STT</x:t>
  </x:si>
  <x:si>
    <x:t xml:space="preserve">T1</x:t>
  </x:si>
  <x:si>
    <x:t xml:space="preserve">L1</x:t>
  </x:si>
  <x:si>
    <x:t xml:space="preserve">H1</x:t>
  </x:si>
  <x:si>
    <x:t xml:space="preserve">S1</x:t>
  </x:si>
  <x:si>
    <x:t xml:space="preserve">V1</x:t>
  </x:si>
  <x:si>
    <x:t xml:space="preserve">X1</x:t>
  </x:si>
  <x:si>
    <x:t xml:space="preserve">D1</x:t>
  </x:si>
  <x:si>
    <x:t xml:space="preserve">N1</x:t>
  </x:si>
  <x:si>
    <x:t xml:space="preserve">T2</x:t>
  </x:si>
  <x:si>
    <x:t xml:space="preserve">L2</x:t>
  </x:si>
  <x:si>
    <x:t xml:space="preserve">H2</x:t>
  </x:si>
  <x:si>
    <x:t xml:space="preserve">S2</x:t>
  </x:si>
  <x:si>
    <x:t xml:space="preserve">V2</x:t>
  </x:si>
  <x:si>
    <x:t xml:space="preserve">X2</x:t>
  </x:si>
  <x:si>
    <x:t xml:space="preserve">D2</x:t>
  </x:si>
  <x:si>
    <x:t xml:space="preserve">N2</x:t>
  </x:si>
  <x:si>
    <x:t xml:space="preserve">T3</x:t>
  </x:si>
  <x:si>
    <x:t xml:space="preserve">L3</x:t>
  </x:si>
  <x:si>
    <x:t xml:space="preserve">H3</x:t>
  </x:si>
  <x:si>
    <x:t xml:space="preserve">S3</x:t>
  </x:si>
  <x:si>
    <x:t xml:space="preserve">V3</x:t>
  </x:si>
  <x:si>
    <x:t xml:space="preserve">X3</x:t>
  </x:si>
  <x:si>
    <x:t xml:space="preserve">D3</x:t>
  </x:si>
  <x:si>
    <x:t xml:space="preserve">N3</x:t>
  </x:si>
  <x:si>
    <x:t xml:space="preserve">T4</x:t>
  </x:si>
  <x:si>
    <x:t xml:space="preserve">L4</x:t>
  </x:si>
  <x:si>
    <x:t xml:space="preserve">H4</x:t>
  </x:si>
  <x:si>
    <x:t xml:space="preserve">S4</x:t>
  </x:si>
  <x:si>
    <x:t xml:space="preserve">V4</x:t>
  </x:si>
  <x:si>
    <x:t xml:space="preserve">X4</x:t>
  </x:si>
  <x:si>
    <x:t xml:space="preserve">D4</x:t>
  </x:si>
  <x:si>
    <x:t xml:space="preserve">N4</x:t>
  </x:si>
  <x:si>
    <x:t xml:space="preserve">T5</x:t>
  </x:si>
  <x:si>
    <x:t xml:space="preserve">L5</x:t>
  </x:si>
  <x:si>
    <x:t xml:space="preserve">H5</x:t>
  </x:si>
  <x:si>
    <x:t xml:space="preserve">S5</x:t>
  </x:si>
  <x:si>
    <x:t xml:space="preserve">V5</x:t>
  </x:si>
  <x:si>
    <x:t xml:space="preserve">X5</x:t>
  </x:si>
  <x:si>
    <x:t xml:space="preserve">D5</x:t>
  </x:si>
  <x:si>
    <x:t xml:space="preserve">N5</x:t>
  </x:si>
  <x:si>
    <x:t xml:space="preserve">T6</x:t>
  </x:si>
  <x:si>
    <x:t xml:space="preserve">L6</x:t>
  </x:si>
  <x:si>
    <x:t xml:space="preserve">H6</x:t>
  </x:si>
  <x:si>
    <x:t xml:space="preserve">S6</x:t>
  </x:si>
  <x:si>
    <x:t xml:space="preserve">V6</x:t>
  </x:si>
  <x:si>
    <x:t xml:space="preserve">X6</x:t>
  </x:si>
  <x:si>
    <x:t xml:space="preserve">D6</x:t>
  </x:si>
  <x:si>
    <x:t xml:space="preserve">N6</x:t>
  </x:si>
  <x:si>
    <x:t xml:space="preserve">GT</x:t>
  </x:si>
  <x:si>
    <x:t xml:space="preserve">DT</x:t>
  </x:si>
  <x:si>
    <x:t xml:space="preserve">KV</x:t>
  </x:si>
  <x:si>
    <x:t xml:space="preserve">DH1</x:t>
  </x:si>
  <x:si>
    <x:t xml:space="preserve">DH2</x:t>
  </x:si>
  <x:si>
    <x:t xml:space="preserve">DH3</x:t>
  </x:si>
  <x:si>
    <x:t xml:space="preserve">KT</x:t>
  </x:si>
  <x:si>
    <x:t xml:space="preserve">1</x:t>
  </x:si>
  <x:si>
    <x:t xml:space="preserve">7.2</x:t>
  </x:si>
  <x:si>
    <x:t xml:space="preserve">7.3</x:t>
  </x:si>
  <x:si>
    <x:t xml:space="preserve">6.3</x:t>
  </x:si>
  <x:si>
    <x:t xml:space="preserve">7</x:t>
  </x:si>
  <x:si>
    <x:t xml:space="preserve">7.9</x:t>
  </x:si>
  <x:si>
    <x:t xml:space="preserve">5.5</x:t>
  </x:si>
  <x:si>
    <x:t xml:space="preserve">8.4</x:t>
  </x:si>
  <x:si>
    <x:t xml:space="preserve">8.9</x:t>
  </x:si>
  <x:si>
    <x:t xml:space="preserve">5.8</x:t>
  </x:si>
  <x:si>
    <x:t xml:space="preserve">9</x:t>
  </x:si>
  <x:si>
    <x:t xml:space="preserve">6.6</x:t>
  </x:si>
  <x:si>
    <x:t xml:space="preserve">8.7</x:t>
  </x:si>
  <x:si>
    <x:t xml:space="preserve">7.4</x:t>
  </x:si>
  <x:si>
    <x:t xml:space="preserve">5.2</x:t>
  </x:si>
  <x:si>
    <x:t xml:space="preserve">6.9</x:t>
  </x:si>
  <x:si>
    <x:t xml:space="preserve">8.1</x:t>
  </x:si>
  <x:si>
    <x:t xml:space="preserve">7.1</x:t>
  </x:si>
  <x:si>
    <x:t xml:space="preserve">5.9</x:t>
  </x:si>
  <x:si>
    <x:t xml:space="preserve">5.6</x:t>
  </x:si>
  <x:si>
    <x:t xml:space="preserve">6.1</x:t>
  </x:si>
  <x:si>
    <x:t xml:space="preserve">5.7</x:t>
  </x:si>
  <x:si>
    <x:t xml:space="preserve">5</x:t>
  </x:si>
  <x:si>
    <x:t xml:space="preserve">6.5</x:t>
  </x:si>
  <x:si>
    <x:t xml:space="preserve">7.6</x:t>
  </x:si>
  <x:si>
    <x:t xml:space="preserve">F</x:t>
  </x:si>
  <x:si>
    <x:t xml:space="preserve">138</x:t>
  </x:si>
  <x:si>
    <x:t xml:space="preserve">2NT</x:t>
  </x:si>
  <x:si>
    <x:t xml:space="preserve">3.25</x:t>
  </x:si>
  <x:si>
    <x:t xml:space="preserve">4.5</x:t>
  </x:si>
  <x:si>
    <x:t xml:space="preserve">A1</x:t>
  </x:si>
  <x:si>
    <x:t xml:space="preserve">2</x:t>
  </x:si>
  <x:si>
    <x:t xml:space="preserve">5.4</x:t>
  </x:si>
  <x:si>
    <x:t xml:space="preserve">3.9</x:t>
  </x:si>
  <x:si>
    <x:t xml:space="preserve">4</x:t>
  </x:si>
  <x:si>
    <x:t xml:space="preserve">5.3</x:t>
  </x:si>
  <x:si>
    <x:t xml:space="preserve">2.8</x:t>
  </x:si>
  <x:si>
    <x:t xml:space="preserve">3.2</x:t>
  </x:si>
  <x:si>
    <x:t xml:space="preserve">4.7</x:t>
  </x:si>
  <x:si>
    <x:t xml:space="preserve">4.3</x:t>
  </x:si>
  <x:si>
    <x:t xml:space="preserve">3.8</x:t>
  </x:si>
  <x:si>
    <x:t xml:space="preserve">3.7</x:t>
  </x:si>
  <x:si>
    <x:t xml:space="preserve">4.4</x:t>
  </x:si>
  <x:si>
    <x:t xml:space="preserve">4.9</x:t>
  </x:si>
  <x:si>
    <x:t xml:space="preserve">5.1</x:t>
  </x:si>
  <x:si>
    <x:t xml:space="preserve">3</x:t>
  </x:si>
  <x:si>
    <x:t xml:space="preserve">4.6</x:t>
  </x:si>
  <x:si>
    <x:t xml:space="preserve">6.7</x:t>
  </x:si>
  <x:si>
    <x:t xml:space="preserve">M</x:t>
  </x:si>
  <x:si>
    <x:t xml:space="preserve">6</x:t>
  </x:si>
  <x:si>
    <x:t xml:space="preserve">3.5</x:t>
  </x:si>
  <x:si>
    <x:t xml:space="preserve">C</x:t>
  </x:si>
  <x:si>
    <x:t xml:space="preserve">6.8</x:t>
  </x:si>
  <x:si>
    <x:t xml:space="preserve">7.5</x:t>
  </x:si>
  <x:si>
    <x:t xml:space="preserve">6.2</x:t>
  </x:si>
  <x:si>
    <x:t xml:space="preserve">2.5</x:t>
  </x:si>
  <x:si>
    <x:t xml:space="preserve">6.4</x:t>
  </x:si>
  <x:si>
    <x:t xml:space="preserve">4.1</x:t>
  </x:si>
  <x:si>
    <x:t xml:space="preserve">4.8</x:t>
  </x:si>
  <x:si>
    <x:t xml:space="preserve">6.75</x:t>
  </x:si>
  <x:si>
    <x:t xml:space="preserve">4.25</x:t>
  </x:si>
  <x:si>
    <x:t xml:space="preserve">5.25</x:t>
  </x:si>
  <x:si>
    <x:t xml:space="preserve">7.7</x:t>
  </x:si>
  <x:si>
    <x:t xml:space="preserve">8.3</x:t>
  </x:si>
  <x:si>
    <x:t xml:space="preserve">8.6</x:t>
  </x:si>
  <x:si>
    <x:t xml:space="preserve">8</x:t>
  </x:si>
  <x:si>
    <x:t xml:space="preserve">A</x:t>
  </x:si>
  <x:si>
    <x:t xml:space="preserve">9.3</x:t>
  </x:si>
  <x:si>
    <x:t xml:space="preserve">9.6</x:t>
  </x:si>
  <x:si>
    <x:t xml:space="preserve">7.8</x:t>
  </x:si>
  <x:si>
    <x:t xml:space="preserve">9.2</x:t>
  </x:si>
  <x:si>
    <x:t xml:space="preserve">9.1</x:t>
  </x:si>
  <x:si>
    <x:t xml:space="preserve">8.5</x:t>
  </x:si>
  <x:si>
    <x:t xml:space="preserve">8.2</x:t>
  </x:si>
  <x:si>
    <x:t xml:space="preserve">8.8</x:t>
  </x:si>
  <x:si>
    <x:t xml:space="preserve">1.5</x:t>
  </x:si>
  <x:si>
    <x:t xml:space="preserve">3.75</x:t>
  </x:si>
  <x:si>
    <x:t xml:space="preserve">10</x:t>
  </x:si>
  <x:si>
    <x:t xml:space="preserve">4.75</x:t>
  </x:si>
  <x:si>
    <x:t xml:space="preserve">11</x:t>
  </x:si>
  <x:si>
    <x:t xml:space="preserve">12</x:t>
  </x:si>
  <x:si>
    <x:t xml:space="preserve">13</x:t>
  </x:si>
  <x:si>
    <x:t xml:space="preserve">14</x:t>
  </x:si>
  <x:si>
    <x:t xml:space="preserve">4.2</x:t>
  </x:si>
  <x:si>
    <x:t xml:space="preserve">2.75</x:t>
  </x:si>
  <x:si>
    <x:t xml:space="preserve">15</x:t>
  </x:si>
  <x:si>
    <x:t xml:space="preserve">16</x:t>
  </x:si>
  <x:si>
    <x:t xml:space="preserve">3.4</x:t>
  </x:si>
  <x:si>
    <x:t xml:space="preserve">17</x:t>
  </x:si>
  <x:si>
    <x:t xml:space="preserve">18</x:t>
  </x:si>
  <x:si>
    <x:t xml:space="preserve">9.4</x:t>
  </x:si>
  <x:si>
    <x:t xml:space="preserve">19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</x:si>
  <x:si>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</x:si>
  <x:si>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</x:si>
  <x:si>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</x:si>
  <x:si>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</x:si>
  <x:si>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2.3</x:t>
  </x:si>
  <x:si>
    <x:t xml:space="preserve">24</x:t>
  </x:si>
  <x:si>
    <x:t xml:space="preserve">25</x:t>
  </x:si>
  <x:si>
    <x:t xml:space="preserve">2.4</x:t>
  </x:si>
  <x:si>
    <x:t xml:space="preserve">3.6</x:t>
  </x:si>
  <x:si>
    <x:t xml:space="preserve">3.3</x:t>
  </x:si>
  <x:si>
    <x:t xml:space="preserve">2.25</x:t>
  </x:si>
  <x:si>
    <x:t xml:space="preserve">26</x:t>
  </x:si>
  <x:si>
    <x:t xml:space="preserve">2.7</x:t>
  </x:si>
  <x:si>
    <x:t xml:space="preserve">27</x:t>
  </x:si>
  <x:si>
    <x:t xml:space="preserve">28</x:t>
  </x:si>
  <x:si>
    <x:t xml:space="preserve">2.9</x:t>
  </x:si>
  <x:si>
    <x:t xml:space="preserve">29</x:t>
  </x:si>
  <x:si>
    <x:t xml:space="preserve">30</x:t>
  </x:si>
  <x:si>
    <x:t xml:space="preserve">31</x:t>
  </x:si>
  <x:si>
    <x:t xml:space="preserve">32</x:t>
  </x:si>
  <x:si>
    <x:t xml:space="preserve">2.6</x:t>
  </x:si>
  <x:si>
    <x:t xml:space="preserve">33</x:t>
  </x:si>
  <x:si>
    <x:t xml:space="preserve">34</x:t>
  </x:si>
  <x:si>
    <x:t xml:space="preserve">3.1</x:t>
  </x:si>
  <x:si>
    <x:t xml:space="preserve">35</x:t>
  </x:si>
  <x:si>
    <x:t xml:space="preserve">36</x:t>
  </x:si>
  <x:si>
    <x:t xml:space="preserve">37</x:t>
  </x:si>
  <x:si>
    <x:t xml:space="preserve">38</x:t>
  </x:si>
  <x:si>
    <x:t xml:space="preserve">39</x:t>
  </x:si>
  <x:si>
    <x:t xml:space="preserve">40</x:t>
  </x:si>
  <x:si>
    <x:t xml:space="preserve">1.9</x:t>
  </x:si>
  <x:si>
    <x:t xml:space="preserve">41</x:t>
  </x:si>
  <x:si>
    <x:t xml:space="preserve">5.75</x:t>
  </x:si>
  <x:si>
    <x:t xml:space="preserve">42</x:t>
  </x:si>
  <x:si>
    <x:t xml:space="preserve">9.7</x:t>
  </x:si>
  <x:si>
    <x:t xml:space="preserve">43</x:t>
  </x:si>
  <x:si>
    <x:t xml:space="preserve">44</x:t>
  </x:si>
  <x:si>
    <x:t xml:space="preserve">1.25</x:t>
  </x:si>
  <x:si>
    <x:t xml:space="preserve">45</x:t>
  </x:si>
  <x:si>
    <x:t xml:space="preserve">46</x:t>
  </x:si>
  <x:si>
    <x:t xml:space="preserve">47</x:t>
  </x:si>
  <x:si>
    <x:t xml:space="preserve">48</x:t>
  </x:si>
  <x:si>
    <x:t xml:space="preserve">49</x:t>
  </x:si>
  <x:si>
    <x:t xml:space="preserve">50</x:t>
  </x:si>
  <x:si>
    <x:t xml:space="preserve">51</x:t>
  </x:si>
  <x:si>
    <x:t xml:space="preserve">52</x:t>
  </x:si>
  <x:si>
    <x:t xml:space="preserve">53</x:t>
  </x:si>
  <x:si>
    <x:t xml:space="preserve">54</x:t>
  </x:si>
  <x:si>
    <x:t xml:space="preserve">55</x:t>
  </x:si>
  <x:si>
    <x:t xml:space="preserve">56</x:t>
  </x:si>
  <x:si>
    <x:t xml:space="preserve">9.5</x:t>
  </x:si>
  <x:si>
    <x:t xml:space="preserve">57</x:t>
  </x:si>
  <x:si>
    <x:t xml:space="preserve">58</x:t>
  </x:si>
  <x:si>
    <x:t xml:space="preserve">59</x:t>
  </x:si>
  <x:si>
    <x:t xml:space="preserve">60</x:t>
  </x:si>
  <x:si>
    <x:t xml:space="preserve">61</x:t>
  </x:si>
  <x:si>
    <x:t xml:space="preserve">62</x:t>
  </x:si>
  <x:si>
    <x:t xml:space="preserve">63</x:t>
  </x:si>
  <x:si>
    <x:t xml:space="preserve">64</x:t>
  </x:si>
  <x:si>
    <x:t xml:space="preserve">65</x:t>
  </x:si>
  <x:si>
    <x:t xml:space="preserve">66</x:t>
  </x:si>
  <x:si>
    <x:t xml:space="preserve">67</x:t>
  </x:si>
  <x:si>
    <x:t xml:space="preserve">68</x:t>
  </x:si>
  <x:si>
    <x:t xml:space="preserve">B</x:t>
  </x:si>
  <x:si>
    <x:t xml:space="preserve">69</x:t>
  </x:si>
  <x:si>
    <x:t xml:space="preserve">70</x:t>
  </x:si>
  <x:si>
    <x:t xml:space="preserve">6.25</x:t>
  </x:si>
  <x:si>
    <x:t xml:space="preserve">71</x:t>
  </x:si>
  <x:si>
    <x:t xml:space="preserve">7.25</x:t>
  </x:si>
  <x:si>
    <x:t xml:space="preserve">72</x:t>
  </x:si>
  <x:si>
    <x:t xml:space="preserve">73</x:t>
  </x:si>
  <x:si>
    <x:t xml:space="preserve">74</x:t>
  </x:si>
  <x:si>
    <x:t xml:space="preserve">75</x:t>
  </x:si>
  <x:si>
    <x:t xml:space="preserve">76</x:t>
  </x:si>
  <x:si>
    <x:t xml:space="preserve">77</x:t>
  </x:si>
  <x:si>
    <x:t xml:space="preserve">78</x:t>
  </x:si>
  <x:si>
    <x:t xml:space="preserve">79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</x:si>
  <x:si>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</x:si>
  <x:si>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</x:si>
  <x:si>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</x:si>
  <x:si>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</x:si>
  <x:si>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</x:si>
  <x:si>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9.8</x:t>
  </x:si>
  <x:si>
    <x:t xml:space="preserve">1.75</x:t>
  </x:si>
  <x:si>
    <x:t xml:space="preserve">85</x:t>
  </x:si>
  <x:si>
    <x:t xml:space="preserve">86</x:t>
  </x:si>
  <x:si>
    <x:t xml:space="preserve">87</x:t>
  </x:si>
  <x:si>
    <x:t xml:space="preserve">88</x:t>
  </x:si>
  <x:si>
    <x:t xml:space="preserve">89</x:t>
  </x:si>
  <x:si>
    <x:t xml:space="preserve">90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</x:si>
  <x:si>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</x:si>
  <x:si>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</x:si>
  <x:si>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</x:si>
  <x:si>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</x:si>
  <x:si>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</x:si>
  <x:si>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96</x:t>
  </x:si>
  <x:si>
    <x:t xml:space="preserve">97</x:t>
  </x:si>
  <x:si>
    <x:t xml:space="preserve">98</x:t>
  </x:si>
  <x:si>
    <x:t xml:space="preserve">99</x:t>
  </x:si>
  <x:si>
    <x:t xml:space="preserve">1.8</x:t>
  </x:si>
  <x:si>
    <x:t xml:space="preserve">100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</x:si>
</x:sst>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4F81B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7"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faa58006e41e6" /><Relationship Type="http://schemas.openxmlformats.org/officeDocument/2006/relationships/theme" Target="/xl/theme/theme1.xml" Id="Rfb22d739ad4e40c1" /><Relationship Type="http://schemas.openxmlformats.org/officeDocument/2006/relationships/sharedStrings" Target="/xl/sharedStrings.xml" Id="R40e6947c64f04a8a" /><Relationship Type="http://schemas.openxmlformats.org/officeDocument/2006/relationships/worksheet" Target="/xl/worksheets/sheet1.xml" Id="R10f7592b47f94d00" /><Relationship Type="http://schemas.openxmlformats.org/officeDocument/2006/relationships/worksheet" Target="/xl/worksheets/sheet2.xml" Id="Rc916ec6cc6c34def" /></Relationships>
</file>

<file path=xl/tables/table1.xml><?xml version="1.0" encoding="utf-8"?>
<x:table xmlns:x="http://schemas.openxmlformats.org/spreadsheetml/2006/main" id="1" name="dulieuxettuyendaihoc" displayName="dulieuxettuyendaihoc" ref="A1:BE102">
  <x:autoFilter ref="A1:BE102"/>
  <x:tableColumns count="57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</x:tableColumns>
  <x:tableStyleInfo name="TableStyleMedium7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0a0dfed5e74c74" /></Relationships>
</file>

<file path=xl/worksheets/sheet1.xml><?xml version="1.0" encoding="utf-8"?>
<x:worksheet xmlns:x="http://schemas.openxmlformats.org/spreadsheetml/2006/main">
  <x:sheetFormatPr defaultRowHeight="14.5"/>
  <x:cols>
    <x:col min="1" max="9" width="10.54296875" customWidth="1"/>
    <x:col min="10" max="56" width="11.54296875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 t="s">
        <x:v>39</x:v>
      </x:c>
      <x:c r="AO1" t="s">
        <x:v>40</x:v>
      </x:c>
      <x:c r="AP1" t="s">
        <x:v>41</x:v>
      </x:c>
      <x:c r="AQ1" t="s">
        <x:v>42</x:v>
      </x:c>
      <x:c r="AR1" t="s">
        <x:v>43</x:v>
      </x:c>
      <x:c r="AS1" t="s">
        <x:v>44</x:v>
      </x:c>
      <x:c r="AT1" t="s">
        <x:v>45</x:v>
      </x:c>
      <x:c r="AU1" t="s">
        <x:v>46</x:v>
      </x:c>
      <x:c r="AV1" t="s">
        <x:v>47</x:v>
      </x:c>
      <x:c r="AW1" t="s">
        <x:v>48</x:v>
      </x:c>
      <x:c r="AX1" t="s">
        <x:v>49</x:v>
      </x:c>
      <x:c r="AY1" t="s">
        <x:v>50</x:v>
      </x:c>
      <x:c r="AZ1" t="s">
        <x:v>51</x:v>
      </x:c>
      <x:c r="BA1" t="s">
        <x:v>52</x:v>
      </x:c>
      <x:c r="BB1" t="s">
        <x:v>53</x:v>
      </x:c>
      <x:c r="BC1" t="s">
        <x:v>54</x:v>
      </x:c>
      <x:c r="BD1" t="s">
        <x:v>55</x:v>
      </x:c>
      <x:c r="BE1" t="str">
        <x:v>Column57</x:v>
      </x:c>
      <x:c r="BF1" t="str">
        <x:v>Column58</x:v>
      </x:c>
      <x:c r="BG1" t="str">
        <x:v>Column59</x:v>
      </x:c>
      <x:c r="BH1" t="str">
        <x:v>Column60</x:v>
      </x:c>
      <x:c r="BI1" t="str">
        <x:v>Column61</x:v>
      </x:c>
      <x:c r="BJ1" t="str">
        <x:v>Column62</x:v>
      </x:c>
      <x:c r="BK1" t="str">
        <x:v>Column63</x:v>
      </x:c>
      <x:c r="BL1" t="str">
        <x:v>Column64</x:v>
      </x:c>
      <x:c r="BM1" t="str">
        <x:v>Column65</x:v>
      </x:c>
      <x:c r="BN1" t="str">
        <x:v>Column66</x:v>
      </x:c>
    </x:row>
    <x:row r="2">
      <x:c r="A2" s="1" t="s">
        <x:v>56</x:v>
      </x:c>
      <x:c r="B2" s="1" t="s">
        <x:v>57</x:v>
      </x:c>
      <x:c r="C2" s="1" t="s">
        <x:v>58</x:v>
      </x:c>
      <x:c r="D2" s="1" t="s">
        <x:v>59</x:v>
      </x:c>
      <x:c r="E2" s="1" t="s">
        <x:v>60</x:v>
      </x:c>
      <x:c r="F2" s="1" t="s">
        <x:v>61</x:v>
      </x:c>
      <x:c r="G2" s="1" t="s">
        <x:v>62</x:v>
      </x:c>
      <x:c r="H2" s="1" t="s">
        <x:v>63</x:v>
      </x:c>
      <x:c r="I2" s="1" t="s">
        <x:v>64</x:v>
      </x:c>
      <x:c r="J2" s="1" t="s">
        <x:v>65</x:v>
      </x:c>
      <x:c r="K2" s="1" t="s">
        <x:v>66</x:v>
      </x:c>
      <x:c r="L2" s="1" t="s">
        <x:v>67</x:v>
      </x:c>
      <x:c r="M2" s="1" t="s">
        <x:v>68</x:v>
      </x:c>
      <x:c r="N2" s="1" t="s">
        <x:v>69</x:v>
      </x:c>
      <x:c r="O2" s="1" t="s">
        <x:v>70</x:v>
      </x:c>
      <x:c r="P2" s="1" t="s">
        <x:v>71</x:v>
      </x:c>
      <x:c r="Q2" s="1" t="s">
        <x:v>72</x:v>
      </x:c>
      <x:c r="R2" s="1" t="s">
        <x:v>73</x:v>
      </x:c>
      <x:c r="S2" s="1" t="s">
        <x:v>74</x:v>
      </x:c>
      <x:c r="T2" s="1" t="s">
        <x:v>75</x:v>
      </x:c>
      <x:c r="U2" s="1" t="s">
        <x:v>76</x:v>
      </x:c>
      <x:c r="V2" s="1" t="s">
        <x:v>77</x:v>
      </x:c>
      <x:c r="W2" s="1" t="s">
        <x:v>78</x:v>
      </x:c>
      <x:c r="X2" s="1" t="s">
        <x:v>79</x:v>
      </x:c>
      <x:c r="Y2" s="1" t="s">
        <x:v>80</x:v>
      </x:c>
      <x:c r="Z2" s="1" t="s">
        <x:v>81</x:v>
      </x:c>
      <x:c r="AA2" s="1" t="s">
        <x:v>82</x:v>
      </x:c>
      <x:c r="AB2" s="1" t="s">
        <x:v>83</x:v>
      </x:c>
      <x:c r="AC2" s="1" t="s">
        <x:v>84</x:v>
      </x:c>
      <x:c r="AD2" s="1" t="s">
        <x:v>85</x:v>
      </x:c>
      <x:c r="AE2" s="1" t="s">
        <x:v>86</x:v>
      </x:c>
      <x:c r="AF2" s="1" t="s">
        <x:v>87</x:v>
      </x:c>
      <x:c r="AG2" s="1" t="s">
        <x:v>88</x:v>
      </x:c>
      <x:c r="AH2" s="1" t="s">
        <x:v>89</x:v>
      </x:c>
      <x:c r="AI2" s="1" t="s">
        <x:v>90</x:v>
      </x:c>
      <x:c r="AJ2" s="1" t="s">
        <x:v>91</x:v>
      </x:c>
      <x:c r="AK2" s="1" t="s">
        <x:v>92</x:v>
      </x:c>
      <x:c r="AL2" s="1" t="s">
        <x:v>93</x:v>
      </x:c>
      <x:c r="AM2" s="1" t="s">
        <x:v>94</x:v>
      </x:c>
      <x:c r="AN2" s="1" t="s">
        <x:v>95</x:v>
      </x:c>
      <x:c r="AO2" s="1" t="s">
        <x:v>96</x:v>
      </x:c>
      <x:c r="AP2" s="1" t="s">
        <x:v>97</x:v>
      </x:c>
      <x:c r="AQ2" s="1" t="s">
        <x:v>98</x:v>
      </x:c>
      <x:c r="AR2" s="1" t="s">
        <x:v>99</x:v>
      </x:c>
      <x:c r="AS2" s="1" t="s">
        <x:v>100</x:v>
      </x:c>
      <x:c r="AT2" s="1" t="s">
        <x:v>101</x:v>
      </x:c>
      <x:c r="AU2" s="1" t="s">
        <x:v>102</x:v>
      </x:c>
      <x:c r="AV2" s="1" t="s">
        <x:v>103</x:v>
      </x:c>
      <x:c r="AW2" s="1" t="s">
        <x:v>104</x:v>
      </x:c>
      <x:c r="AX2" s="1" t="s">
        <x:v>105</x:v>
      </x:c>
      <x:c r="AY2" s="1" t="s">
        <x:v>106</x:v>
      </x:c>
      <x:c r="AZ2" s="1" t="s">
        <x:v>107</x:v>
      </x:c>
      <x:c r="BA2" s="1" t="s">
        <x:v>108</x:v>
      </x:c>
      <x:c r="BB2" s="1" t="s">
        <x:v>109</x:v>
      </x:c>
      <x:c r="BC2" s="1" t="s">
        <x:v>110</x:v>
      </x:c>
      <x:c r="BD2" s="1" t="s">
        <x:v>111</x:v>
      </x:c>
      <x:c r="BE2" s="6" t="str">
        <x:v>TBM1</x:v>
      </x:c>
      <x:c r="BF2" s="6" t="str">
        <x:v>TBM2</x:v>
      </x:c>
      <x:c r="BG2" s="6" t="str">
        <x:v>TBM3</x:v>
      </x:c>
      <x:c r="BH2" s="6" t="str">
        <x:v>XL1</x:v>
      </x:c>
      <x:c r="BI2" s="6" t="str">
        <x:v>XL2</x:v>
      </x:c>
      <x:c r="BJ2" s="6" t="str">
        <x:v>XL3</x:v>
      </x:c>
      <x:c r="BK2" s="6" t="str">
        <x:v>US_TBM1</x:v>
      </x:c>
      <x:c r="BL2" s="6" t="str">
        <x:v>US_TBM2</x:v>
      </x:c>
      <x:c r="BM2" s="6" t="str">
        <x:v>US_TBM3</x:v>
      </x:c>
      <x:c r="BN2" s="6" t="str">
        <x:v>KQXT</x:v>
      </x:c>
    </x:row>
    <x:row r="3">
      <x:c r="A3" s="1" t="s">
        <x:v>112</x:v>
      </x:c>
      <x:c r="B3" s="1" t="s">
        <x:v>113</x:v>
      </x:c>
      <x:c r="C3" s="1" t="s">
        <x:v>114</x:v>
      </x:c>
      <x:c r="D3" s="1" t="s">
        <x:v>115</x:v>
      </x:c>
      <x:c r="E3" s="1" t="s">
        <x:v>114</x:v>
      </x:c>
      <x:c r="F3" s="1" t="s">
        <x:v>116</x:v>
      </x:c>
      <x:c r="G3" s="1" t="s">
        <x:v>117</x:v>
      </x:c>
      <x:c r="H3" s="1" t="s">
        <x:v>114</x:v>
      </x:c>
      <x:c r="I3" s="1" t="s">
        <x:v>118</x:v>
      </x:c>
      <x:c r="J3" s="1" t="s">
        <x:v>119</x:v>
      </x:c>
      <x:c r="K3" s="1" t="s">
        <x:v>120</x:v>
      </x:c>
      <x:c r="L3" s="1" t="s">
        <x:v>121</x:v>
      </x:c>
      <x:c r="M3" s="1" t="s">
        <x:v>122</x:v>
      </x:c>
      <x:c r="N3" s="1" t="s">
        <x:v>123</x:v>
      </x:c>
      <x:c r="O3" s="1" t="s">
        <x:v>124</x:v>
      </x:c>
      <x:c r="P3" s="1" t="s">
        <x:v>113</x:v>
      </x:c>
      <x:c r="Q3" s="1" t="s">
        <x:v>121</x:v>
      </x:c>
      <x:c r="R3" s="1" t="s">
        <x:v>125</x:v>
      </x:c>
      <x:c r="S3" s="1" t="s">
        <x:v>125</x:v>
      </x:c>
      <x:c r="T3" s="1" t="s">
        <x:v>126</x:v>
      </x:c>
      <x:c r="U3" s="1" t="s">
        <x:v>123</x:v>
      </x:c>
      <x:c r="V3" s="1" t="s">
        <x:v>127</x:v>
      </x:c>
      <x:c r="W3" s="1" t="s">
        <x:v>120</x:v>
      </x:c>
      <x:c r="X3" s="1" t="s">
        <x:v>128</x:v>
      </x:c>
      <x:c r="Y3" s="1" t="s">
        <x:v>121</x:v>
      </x:c>
      <x:c r="Z3" s="1" t="s">
        <x:v>113</x:v>
      </x:c>
      <x:c r="AA3" s="1" t="s">
        <x:v>129</x:v>
      </x:c>
      <x:c r="AB3" s="1" t="s">
        <x:v>130</x:v>
      </x:c>
      <x:c r="AC3" s="1" t="s">
        <x:v>113</x:v>
      </x:c>
      <x:c r="AD3" s="1" t="s">
        <x:v>123</x:v>
      </x:c>
      <x:c r="AE3" s="1" t="s">
        <x:v>121</x:v>
      </x:c>
      <x:c r="AF3" s="1" t="s">
        <x:v>128</x:v>
      </x:c>
      <x:c r="AG3" s="1" t="s">
        <x:v>130</x:v>
      </x:c>
      <x:c r="AH3" s="1" t="s">
        <x:v>125</x:v>
      </x:c>
      <x:c r="AI3" s="1" t="s">
        <x:v>131</x:v>
      </x:c>
      <x:c r="AJ3" s="1" t="s">
        <x:v>132</x:v>
      </x:c>
      <x:c r="AK3" s="1" t="s">
        <x:v>133</x:v>
      </x:c>
      <x:c r="AL3" s="1" t="s">
        <x:v>117</x:v>
      </x:c>
      <x:c r="AM3" s="1" t="s">
        <x:v>134</x:v>
      </x:c>
      <x:c r="AN3" s="1" t="s">
        <x:v>125</x:v>
      </x:c>
      <x:c r="AO3" s="1" t="s">
        <x:v>134</x:v>
      </x:c>
      <x:c r="AP3" s="1" t="s">
        <x:v>127</x:v>
      </x:c>
      <x:c r="AQ3" s="1" t="s">
        <x:v>133</x:v>
      </x:c>
      <x:c r="AR3" s="1" t="s">
        <x:v>135</x:v>
      </x:c>
      <x:c r="AS3" s="1" t="s">
        <x:v>113</x:v>
      </x:c>
      <x:c r="AT3" s="1" t="s">
        <x:v>119</x:v>
      </x:c>
      <x:c r="AU3" s="1" t="s">
        <x:v>123</x:v>
      </x:c>
      <x:c r="AV3" s="1" t="s">
        <x:v>136</x:v>
      </x:c>
      <x:c r="AW3" s="1" t="s">
        <x:v>130</x:v>
      </x:c>
      <x:c r="AX3" s="1" t="s">
        <x:v>137</x:v>
      </x:c>
      <x:c r="AY3" s="1" t="s">
        <x:v>138</x:v>
      </x:c>
      <x:c r="AZ3" s="1" t="s">
        <x:v>139</x:v>
      </x:c>
      <x:c r="BA3" s="1" t="s">
        <x:v>140</x:v>
      </x:c>
      <x:c r="BB3" s="1" t="s">
        <x:v>140</x:v>
      </x:c>
      <x:c r="BC3" s="1" t="s">
        <x:v>141</x:v>
      </x:c>
      <x:c r="BD3" s="1" t="s">
        <x:v>142</x:v>
      </x:c>
      <x:c r="BE3" s="11" t="n">
        <x:f>ROUND((((B3*2+C3+D3+E3+F3*2+G3+H3+I3)/10)+((J3*2+K3+L3+M3+N3*2+O3+P3+Q3)/10)*2)/3,2)</x:f>
        <x:v>7.36</x:v>
      </x:c>
      <x:c r="BF3" s="11" t="n">
        <x:f>ROUND((((R3*2+S3+T3+U3+V3*2+W3+X3+Y3)/10)+((Z3*2+AA3+AB3+AC3+AD3*2+AE3+AF3+AG3)/10)*2)/3,2)</x:f>
        <x:v>6.86</x:v>
      </x:c>
      <x:c r="BG3" s="11" t="n">
        <x:f>ROUND((((AH3*2+AI3+AJ3+AK3+AL3*2+AM3+AN3+AO3)/10)+((AP3*2+AQ3+AR3+AS3+AT3*2+AU3+AV3+AW3)/10)*2)/3,2)</x:f>
        <x:v>6.85</x:v>
      </x:c>
      <x:c r="BH3" s="13" t="str">
        <x:f>IF(BE3&lt;5,"Y",IF(BE3&lt;6.5,"TB",IF(BE3&lt;8,"K",IF(BE3&lt;9,"G","XS"))))</x:f>
        <x:v>K</x:v>
      </x:c>
      <x:c r="BI3" s="13" t="str">
        <x:f>IF(BF3&lt;5,"Y",IF(BF3&lt;6.5,"TB",IF(BF3&lt;8,"K",IF(BF3&lt;9,"G","XS"))))</x:f>
        <x:v>K</x:v>
      </x:c>
      <x:c r="BJ3" s="13" t="str">
        <x:f>IF(BG3&lt;5,"Y",IF(BG3&lt;6.5,"TB",IF(BG3&lt;8,"K",IF(BG3&lt;9,"G","XS"))))</x:f>
        <x:v>K</x:v>
      </x:c>
      <x:c r="BK3" s="11" t="n">
        <x:f>ROUND((BE3/10)*4,2)</x:f>
        <x:v>2.94</x:v>
      </x:c>
      <x:c r="BL3" s="11" t="n">
        <x:f>ROUND((BF3/10)*4,2)</x:f>
        <x:v>2.74</x:v>
      </x:c>
      <x:c r="BM3" s="11" t="n">
        <x:f>ROUND((BG3/10)*4,2)</x:f>
        <x:v>2.74</x:v>
      </x:c>
      <x:c r="BN3" s="13" t="n">
        <x:f>IF(IF(OR(BD3="A",BD3="A1"),(BA3*2+BB3+BC3)/4,IF(BD3="B",(BA3+BB3*2+BC3)/4,(BA3+BB3+BC3)/3))&gt;=5,1,0)</x:f>
        <x:v>0</x:v>
      </x:c>
    </x:row>
    <x:row r="4">
      <x:c r="A4" s="1" t="s">
        <x:v>143</x:v>
      </x:c>
      <x:c r="B4" s="1" t="s">
        <x:v>144</x:v>
      </x:c>
      <x:c r="C4" s="1" t="s">
        <x:v>145</x:v>
      </x:c>
      <x:c r="D4" s="1" t="s">
        <x:v>145</x:v>
      </x:c>
      <x:c r="E4" s="1" t="s">
        <x:v>146</x:v>
      </x:c>
      <x:c r="F4" s="1" t="s">
        <x:v>144</x:v>
      </x:c>
      <x:c r="G4" s="1" t="s">
        <x:v>144</x:v>
      </x:c>
      <x:c r="H4" s="1" t="s">
        <x:v>147</x:v>
      </x:c>
      <x:c r="I4" s="1" t="s">
        <x:v>148</x:v>
      </x:c>
      <x:c r="J4" s="1" t="s">
        <x:v>115</x:v>
      </x:c>
      <x:c r="K4" s="1" t="s">
        <x:v>144</x:v>
      </x:c>
      <x:c r="L4" s="1" t="s">
        <x:v>149</x:v>
      </x:c>
      <x:c r="M4" s="1" t="s">
        <x:v>113</x:v>
      </x:c>
      <x:c r="N4" s="1" t="s">
        <x:v>144</x:v>
      </x:c>
      <x:c r="O4" s="1" t="s">
        <x:v>132</x:v>
      </x:c>
      <x:c r="P4" s="1" t="s">
        <x:v>150</x:v>
      </x:c>
      <x:c r="Q4" s="1" t="s">
        <x:v>150</x:v>
      </x:c>
      <x:c r="R4" s="1" t="s">
        <x:v>151</x:v>
      </x:c>
      <x:c r="S4" s="1" t="s">
        <x:v>152</x:v>
      </x:c>
      <x:c r="T4" s="1" t="s">
        <x:v>153</x:v>
      </x:c>
      <x:c r="U4" s="1" t="s">
        <x:v>153</x:v>
      </x:c>
      <x:c r="V4" s="1" t="s">
        <x:v>126</x:v>
      </x:c>
      <x:c r="W4" s="1" t="s">
        <x:v>123</x:v>
      </x:c>
      <x:c r="X4" s="1" t="s">
        <x:v>121</x:v>
      </x:c>
      <x:c r="Y4" s="1" t="s">
        <x:v>154</x:v>
      </x:c>
      <x:c r="Z4" s="1" t="s">
        <x:v>155</x:v>
      </x:c>
      <x:c r="AA4" s="1" t="s">
        <x:v>148</x:v>
      </x:c>
      <x:c r="AB4" s="1" t="s">
        <x:v>156</x:v>
      </x:c>
      <x:c r="AC4" s="1" t="s">
        <x:v>141</x:v>
      </x:c>
      <x:c r="AD4" s="1" t="s">
        <x:v>131</x:v>
      </x:c>
      <x:c r="AE4" s="1" t="s">
        <x:v>116</x:v>
      </x:c>
      <x:c r="AF4" s="1" t="s">
        <x:v>136</x:v>
      </x:c>
      <x:c r="AG4" s="1" t="s">
        <x:v>150</x:v>
      </x:c>
      <x:c r="AH4" s="1" t="s">
        <x:v>157</x:v>
      </x:c>
      <x:c r="AI4" s="1" t="s">
        <x:v>158</x:v>
      </x:c>
      <x:c r="AJ4" s="1" t="s">
        <x:v>154</x:v>
      </x:c>
      <x:c r="AK4" s="1" t="s">
        <x:v>155</x:v>
      </x:c>
      <x:c r="AL4" s="1" t="s">
        <x:v>151</x:v>
      </x:c>
      <x:c r="AM4" s="1" t="s">
        <x:v>115</x:v>
      </x:c>
      <x:c r="AN4" s="1" t="s">
        <x:v>159</x:v>
      </x:c>
      <x:c r="AO4" s="1" t="s">
        <x:v>154</x:v>
      </x:c>
      <x:c r="AP4" s="1" t="s">
        <x:v>146</x:v>
      </x:c>
      <x:c r="AQ4" s="1" t="s">
        <x:v>144</x:v>
      </x:c>
      <x:c r="AR4" s="1" t="s">
        <x:v>146</x:v>
      </x:c>
      <x:c r="AS4" s="1" t="s">
        <x:v>126</x:v>
      </x:c>
      <x:c r="AT4" s="1" t="s">
        <x:v>118</x:v>
      </x:c>
      <x:c r="AU4" s="1" t="s">
        <x:v>123</x:v>
      </x:c>
      <x:c r="AV4" s="1" t="s">
        <x:v>132</x:v>
      </x:c>
      <x:c r="AW4" s="1" t="s">
        <x:v>154</x:v>
      </x:c>
      <x:c r="AX4" s="1" t="s">
        <x:v>160</x:v>
      </x:c>
      <x:c r="AY4" s="1" t="s">
        <x:v>138</x:v>
      </x:c>
      <x:c r="AZ4" s="1" t="s">
        <x:v>112</x:v>
      </x:c>
      <x:c r="BA4" s="1" t="s">
        <x:v>161</x:v>
      </x:c>
      <x:c r="BB4" s="1" t="s">
        <x:v>146</x:v>
      </x:c>
      <x:c r="BC4" s="1" t="s">
        <x:v>162</x:v>
      </x:c>
      <x:c r="BD4" s="1" t="s">
        <x:v>163</x:v>
      </x:c>
      <x:c r="BE4" s="11" t="n">
        <x:f>ROUND((((B4*2+C4+D4+E4+F4*2+G4+H4+I4)/10)+((J4*2+K4+L4+M4+N4*2+O4+P4+Q4)/10)*2)/3,2)</x:f>
        <x:v>5.21</x:v>
      </x:c>
      <x:c r="BF4" s="11" t="n">
        <x:f>ROUND((((R4*2+S4+T4+U4+V4*2+W4+X4+Y4)/10)+((Z4*2+AA4+AB4+AC4+AD4*2+AE4+AF4+AG4)/10)*2)/3,2)</x:f>
        <x:v>5.08</x:v>
      </x:c>
      <x:c r="BG4" s="11" t="n">
        <x:f>ROUND((((AH4*2+AI4+AJ4+AK4+AL4*2+AM4+AN4+AO4)/10)+((AP4*2+AQ4+AR4+AS4+AT4*2+AU4+AV4+AW4)/10)*2)/3,2)</x:f>
        <x:v>4.91</x:v>
      </x:c>
      <x:c r="BH4" s="13" t="str">
        <x:f>IF(BE4&lt;5,"Y",IF(BE4&lt;6.5,"TB",IF(BE4&lt;8,"K",IF(BE4&lt;9,"G","XS"))))</x:f>
        <x:v>TB</x:v>
      </x:c>
      <x:c r="BI4" s="13" t="str">
        <x:f>IF(BF4&lt;5,"Y",IF(BF4&lt;6.5,"TB",IF(BF4&lt;8,"K",IF(BF4&lt;9,"G","XS"))))</x:f>
        <x:v>TB</x:v>
      </x:c>
      <x:c r="BJ4" s="13" t="str">
        <x:f>IF(BG4&lt;5,"Y",IF(BG4&lt;6.5,"TB",IF(BG4&lt;8,"K",IF(BG4&lt;9,"G","XS"))))</x:f>
        <x:v>Y</x:v>
      </x:c>
      <x:c r="BK4" s="11" t="n">
        <x:f>ROUND((BE4/10)*4,2)</x:f>
        <x:v>2.08</x:v>
      </x:c>
      <x:c r="BL4" s="11" t="n">
        <x:f>ROUND((BF4/10)*4,2)</x:f>
        <x:v>2.03</x:v>
      </x:c>
      <x:c r="BM4" s="11" t="n">
        <x:f>ROUND((BG4/10)*4,2)</x:f>
        <x:v>1.96</x:v>
      </x:c>
      <x:c r="BN4" s="13" t="n">
        <x:f>IF(IF(OR(BD4="A",BD4="A1"),(BA4*2+BB4+BC4)/4,IF(BD4="B",(BA4+BB4*2+BC4)/4,(BA4+BB4+BC4)/3))&gt;=5,1,0)</x:f>
        <x:v>0</x:v>
      </x:c>
    </x:row>
    <x:row r="5">
      <x:c r="A5" s="1" t="s">
        <x:v>157</x:v>
      </x:c>
      <x:c r="B5" s="1" t="s">
        <x:v>131</x:v>
      </x:c>
      <x:c r="C5" s="1" t="s">
        <x:v>164</x:v>
      </x:c>
      <x:c r="D5" s="1" t="s">
        <x:v>113</x:v>
      </x:c>
      <x:c r="E5" s="1" t="s">
        <x:v>165</x:v>
      </x:c>
      <x:c r="F5" s="1" t="s">
        <x:v>151</x:v>
      </x:c>
      <x:c r="G5" s="1" t="s">
        <x:v>125</x:v>
      </x:c>
      <x:c r="H5" s="1" t="s">
        <x:v>121</x:v>
      </x:c>
      <x:c r="I5" s="1" t="s">
        <x:v>149</x:v>
      </x:c>
      <x:c r="J5" s="1" t="s">
        <x:v>134</x:v>
      </x:c>
      <x:c r="K5" s="1" t="s">
        <x:v>155</x:v>
      </x:c>
      <x:c r="L5" s="1" t="s">
        <x:v>166</x:v>
      </x:c>
      <x:c r="M5" s="1" t="s">
        <x:v>132</x:v>
      </x:c>
      <x:c r="N5" s="1" t="s">
        <x:v>147</x:v>
      </x:c>
      <x:c r="O5" s="1" t="s">
        <x:v>129</x:v>
      </x:c>
      <x:c r="P5" s="1" t="s">
        <x:v>146</x:v>
      </x:c>
      <x:c r="Q5" s="1" t="s">
        <x:v>155</x:v>
      </x:c>
      <x:c r="R5" s="1" t="s">
        <x:v>148</x:v>
      </x:c>
      <x:c r="S5" s="1" t="s">
        <x:v>115</x:v>
      </x:c>
      <x:c r="T5" s="1" t="s">
        <x:v>166</x:v>
      </x:c>
      <x:c r="U5" s="1" t="s">
        <x:v>131</x:v>
      </x:c>
      <x:c r="V5" s="1" t="s">
        <x:v>167</x:v>
      </x:c>
      <x:c r="W5" s="1" t="s">
        <x:v>121</x:v>
      </x:c>
      <x:c r="X5" s="1" t="s">
        <x:v>156</x:v>
      </x:c>
      <x:c r="Y5" s="1" t="s">
        <x:v>153</x:v>
      </x:c>
      <x:c r="Z5" s="1" t="s">
        <x:v>132</x:v>
      </x:c>
      <x:c r="AA5" s="1" t="s">
        <x:v>132</x:v>
      </x:c>
      <x:c r="AB5" s="1" t="s">
        <x:v>121</x:v>
      </x:c>
      <x:c r="AC5" s="1" t="s">
        <x:v>164</x:v>
      </x:c>
      <x:c r="AD5" s="1" t="s">
        <x:v>146</x:v>
      </x:c>
      <x:c r="AE5" s="1" t="s">
        <x:v>168</x:v>
      </x:c>
      <x:c r="AF5" s="1" t="s">
        <x:v>147</x:v>
      </x:c>
      <x:c r="AG5" s="1" t="s">
        <x:v>169</x:v>
      </x:c>
      <x:c r="AH5" s="1" t="s">
        <x:v>170</x:v>
      </x:c>
      <x:c r="AI5" s="1" t="s">
        <x:v>156</x:v>
      </x:c>
      <x:c r="AJ5" s="1" t="s">
        <x:v>168</x:v>
      </x:c>
      <x:c r="AK5" s="1" t="s">
        <x:v>156</x:v>
      </x:c>
      <x:c r="AL5" s="1" t="s">
        <x:v>146</x:v>
      </x:c>
      <x:c r="AM5" s="1" t="s">
        <x:v>127</x:v>
      </x:c>
      <x:c r="AN5" s="1" t="s">
        <x:v>145</x:v>
      </x:c>
      <x:c r="AO5" s="1" t="s">
        <x:v>149</x:v>
      </x:c>
      <x:c r="AP5" s="1" t="s">
        <x:v>133</x:v>
      </x:c>
      <x:c r="AQ5" s="1" t="s">
        <x:v>123</x:v>
      </x:c>
      <x:c r="AR5" s="1" t="s">
        <x:v>164</x:v>
      </x:c>
      <x:c r="AS5" s="1" t="s">
        <x:v>164</x:v>
      </x:c>
      <x:c r="AT5" s="1" t="s">
        <x:v>169</x:v>
      </x:c>
      <x:c r="AU5" s="1" t="s">
        <x:v>117</x:v>
      </x:c>
      <x:c r="AV5" s="1" t="s">
        <x:v>128</x:v>
      </x:c>
      <x:c r="AW5" s="1" t="s">
        <x:v>158</x:v>
      </x:c>
      <x:c r="AX5" s="1" t="s">
        <x:v>160</x:v>
      </x:c>
      <x:c r="AY5" s="1" t="s">
        <x:v>138</x:v>
      </x:c>
      <x:c r="AZ5" s="1" t="s">
        <x:v>112</x:v>
      </x:c>
      <x:c r="BA5" s="1" t="s">
        <x:v>134</x:v>
      </x:c>
      <x:c r="BB5" s="1" t="s">
        <x:v>171</x:v>
      </x:c>
      <x:c r="BC5" s="1" t="s">
        <x:v>146</x:v>
      </x:c>
      <x:c r="BD5" s="1" t="s">
        <x:v>163</x:v>
      </x:c>
      <x:c r="BE5" s="11" t="n">
        <x:f>ROUND((((B5*2+C5+D5+E5+F5*2+G5+H5+I5)/10)+((J5*2+K5+L5+M5+N5*2+O5+P5+Q5)/10)*2)/3,2)</x:f>
        <x:v>5.51</x:v>
      </x:c>
      <x:c r="BF5" s="11" t="n">
        <x:f>ROUND((((R5*2+S5+T5+U5+V5*2+W5+X5+Y5)/10)+((Z5*2+AA5+AB5+AC5+AD5*2+AE5+AF5+AG5)/10)*2)/3,2)</x:f>
        <x:v>5.09</x:v>
      </x:c>
      <x:c r="BG5" s="11" t="n">
        <x:f>ROUND((((AH5*2+AI5+AJ5+AK5+AL5*2+AM5+AN5+AO5)/10)+((AP5*2+AQ5+AR5+AS5+AT5*2+AU5+AV5+AW5)/10)*2)/3,2)</x:f>
        <x:v>5.63</x:v>
      </x:c>
      <x:c r="BH5" s="13" t="str">
        <x:f>IF(BE5&lt;5,"Y",IF(BE5&lt;6.5,"TB",IF(BE5&lt;8,"K",IF(BE5&lt;9,"G","XS"))))</x:f>
        <x:v>TB</x:v>
      </x:c>
      <x:c r="BI5" s="13" t="str">
        <x:f>IF(BF5&lt;5,"Y",IF(BF5&lt;6.5,"TB",IF(BF5&lt;8,"K",IF(BF5&lt;9,"G","XS"))))</x:f>
        <x:v>TB</x:v>
      </x:c>
      <x:c r="BJ5" s="13" t="str">
        <x:f>IF(BG5&lt;5,"Y",IF(BG5&lt;6.5,"TB",IF(BG5&lt;8,"K",IF(BG5&lt;9,"G","XS"))))</x:f>
        <x:v>TB</x:v>
      </x:c>
      <x:c r="BK5" s="11" t="n">
        <x:f>ROUND((BE5/10)*4,2)</x:f>
        <x:v>2.2</x:v>
      </x:c>
      <x:c r="BL5" s="11" t="n">
        <x:f>ROUND((BF5/10)*4,2)</x:f>
        <x:v>2.04</x:v>
      </x:c>
      <x:c r="BM5" s="11" t="n">
        <x:f>ROUND((BG5/10)*4,2)</x:f>
        <x:v>2.25</x:v>
      </x:c>
      <x:c r="BN5" s="13" t="n">
        <x:f>IF(IF(OR(BD5="A",BD5="A1"),(BA5*2+BB5+BC5)/4,IF(BD5="B",(BA5+BB5*2+BC5)/4,(BA5+BB5+BC5)/3))&gt;=5,1,0)</x:f>
        <x:v>1</x:v>
      </x:c>
    </x:row>
    <x:row r="6">
      <x:c r="A6" s="1" t="s">
        <x:v>146</x:v>
      </x:c>
      <x:c r="B6" s="1" t="s">
        <x:v>123</x:v>
      </x:c>
      <x:c r="C6" s="1" t="s">
        <x:v>168</x:v>
      </x:c>
      <x:c r="D6" s="1" t="s">
        <x:v>147</x:v>
      </x:c>
      <x:c r="E6" s="1" t="s">
        <x:v>127</x:v>
      </x:c>
      <x:c r="F6" s="1" t="s">
        <x:v>144</x:v>
      </x:c>
      <x:c r="G6" s="1" t="s">
        <x:v>114</x:v>
      </x:c>
      <x:c r="H6" s="1" t="s">
        <x:v>168</x:v>
      </x:c>
      <x:c r="I6" s="1" t="s">
        <x:v>121</x:v>
      </x:c>
      <x:c r="J6" s="1" t="s">
        <x:v>156</x:v>
      </x:c>
      <x:c r="K6" s="1" t="s">
        <x:v>166</x:v>
      </x:c>
      <x:c r="L6" s="1" t="s">
        <x:v>118</x:v>
      </x:c>
      <x:c r="M6" s="1" t="s">
        <x:v>118</x:v>
      </x:c>
      <x:c r="N6" s="1" t="s">
        <x:v>154</x:v>
      </x:c>
      <x:c r="O6" s="1" t="s">
        <x:v>135</x:v>
      </x:c>
      <x:c r="P6" s="1" t="s">
        <x:v>155</x:v>
      </x:c>
      <x:c r="Q6" s="1" t="s">
        <x:v>154</x:v>
      </x:c>
      <x:c r="R6" s="1" t="s">
        <x:v>130</x:v>
      </x:c>
      <x:c r="S6" s="1" t="s">
        <x:v>114</x:v>
      </x:c>
      <x:c r="T6" s="1" t="s">
        <x:v>130</x:v>
      </x:c>
      <x:c r="U6" s="1" t="s">
        <x:v>155</x:v>
      </x:c>
      <x:c r="V6" s="1" t="s">
        <x:v>133</x:v>
      </x:c>
      <x:c r="W6" s="1" t="s">
        <x:v>164</x:v>
      </x:c>
      <x:c r="X6" s="1" t="s">
        <x:v>164</x:v>
      </x:c>
      <x:c r="Y6" s="1" t="s">
        <x:v>144</x:v>
      </x:c>
      <x:c r="Z6" s="1" t="s">
        <x:v>169</x:v>
      </x:c>
      <x:c r="AA6" s="1" t="s">
        <x:v>154</x:v>
      </x:c>
      <x:c r="AB6" s="1" t="s">
        <x:v>169</x:v>
      </x:c>
      <x:c r="AC6" s="1" t="s">
        <x:v>114</x:v>
      </x:c>
      <x:c r="AD6" s="1" t="s">
        <x:v>147</x:v>
      </x:c>
      <x:c r="AE6" s="1" t="s">
        <x:v>129</x:v>
      </x:c>
      <x:c r="AF6" s="1" t="s">
        <x:v>114</x:v>
      </x:c>
      <x:c r="AG6" s="1" t="s">
        <x:v>131</x:v>
      </x:c>
      <x:c r="AH6" s="1" t="s">
        <x:v>132</x:v>
      </x:c>
      <x:c r="AI6" s="1" t="s">
        <x:v>155</x:v>
      </x:c>
      <x:c r="AJ6" s="1" t="s">
        <x:v>147</x:v>
      </x:c>
      <x:c r="AK6" s="1" t="s">
        <x:v>146</x:v>
      </x:c>
      <x:c r="AL6" s="1" t="s">
        <x:v>166</x:v>
      </x:c>
      <x:c r="AM6" s="1" t="s">
        <x:v>118</x:v>
      </x:c>
      <x:c r="AN6" s="1" t="s">
        <x:v>130</x:v>
      </x:c>
      <x:c r="AO6" s="1" t="s">
        <x:v>135</x:v>
      </x:c>
      <x:c r="AP6" s="1" t="s">
        <x:v>125</x:v>
      </x:c>
      <x:c r="AQ6" s="1" t="s">
        <x:v>131</x:v>
      </x:c>
      <x:c r="AR6" s="1" t="s">
        <x:v>123</x:v>
      </x:c>
      <x:c r="AS6" s="1" t="s">
        <x:v>164</x:v>
      </x:c>
      <x:c r="AT6" s="1" t="s">
        <x:v>123</x:v>
      </x:c>
      <x:c r="AU6" s="1" t="s">
        <x:v>129</x:v>
      </x:c>
      <x:c r="AV6" s="1" t="s">
        <x:v>114</x:v>
      </x:c>
      <x:c r="AW6" s="1" t="s">
        <x:v>125</x:v>
      </x:c>
      <x:c r="AX6" s="1" t="s">
        <x:v>160</x:v>
      </x:c>
      <x:c r="AY6" s="1" t="s">
        <x:v>138</x:v>
      </x:c>
      <x:c r="AZ6" s="1" t="s">
        <x:v>112</x:v>
      </x:c>
      <x:c r="BA6" s="1" t="s">
        <x:v>172</x:v>
      </x:c>
      <x:c r="BB6" s="1" t="s">
        <x:v>172</x:v>
      </x:c>
      <x:c r="BC6" s="1" t="s">
        <x:v>173</x:v>
      </x:c>
      <x:c r="BD6" s="1" t="s">
        <x:v>63</x:v>
      </x:c>
      <x:c r="BE6" s="11" t="n">
        <x:f>ROUND((((B6*2+C6+D6+E6+F6*2+G6+H6+I6)/10)+((J6*2+K6+L6+M6+N6*2+O6+P6+Q6)/10)*2)/3,2)</x:f>
        <x:v>5.54</x:v>
      </x:c>
      <x:c r="BF6" s="11" t="n">
        <x:f>ROUND((((R6*2+S6+T6+U6+V6*2+W6+X6+Y6)/10)+((Z6*2+AA6+AB6+AC6+AD6*2+AE6+AF6+AG6)/10)*2)/3,2)</x:f>
        <x:v>5.65</x:v>
      </x:c>
      <x:c r="BG6" s="11" t="n">
        <x:f>ROUND((((AH6*2+AI6+AJ6+AK6+AL6*2+AM6+AN6+AO6)/10)+((AP6*2+AQ6+AR6+AS6+AT6*2+AU6+AV6+AW6)/10)*2)/3,2)</x:f>
        <x:v>6.48</x:v>
      </x:c>
      <x:c r="BH6" s="13" t="str">
        <x:f>IF(BE6&lt;5,"Y",IF(BE6&lt;6.5,"TB",IF(BE6&lt;8,"K",IF(BE6&lt;9,"G","XS"))))</x:f>
        <x:v>TB</x:v>
      </x:c>
      <x:c r="BI6" s="13" t="str">
        <x:f>IF(BF6&lt;5,"Y",IF(BF6&lt;6.5,"TB",IF(BF6&lt;8,"K",IF(BF6&lt;9,"G","XS"))))</x:f>
        <x:v>TB</x:v>
      </x:c>
      <x:c r="BJ6" s="13" t="str">
        <x:f>IF(BG6&lt;5,"Y",IF(BG6&lt;6.5,"TB",IF(BG6&lt;8,"K",IF(BG6&lt;9,"G","XS"))))</x:f>
        <x:v>TB</x:v>
      </x:c>
      <x:c r="BK6" s="11" t="n">
        <x:f>ROUND((BE6/10)*4,2)</x:f>
        <x:v>2.22</x:v>
      </x:c>
      <x:c r="BL6" s="11" t="n">
        <x:f>ROUND((BF6/10)*4,2)</x:f>
        <x:v>2.26</x:v>
      </x:c>
      <x:c r="BM6" s="11" t="n">
        <x:f>ROUND((BG6/10)*4,2)</x:f>
        <x:v>2.59</x:v>
      </x:c>
      <x:c r="BN6" s="13" t="n">
        <x:f>IF(IF(OR(BD6="A",BD6="A1"),(BA6*2+BB6+BC6)/4,IF(BD6="B",(BA6+BB6*2+BC6)/4,(BA6+BB6+BC6)/3))&gt;=5,1,0)</x:f>
        <x:v>0</x:v>
      </x:c>
    </x:row>
    <x:row r="7">
      <x:c r="A7" s="1" t="s">
        <x:v>134</x:v>
      </x:c>
      <x:c r="B7" s="1" t="s">
        <x:v>161</x:v>
      </x:c>
      <x:c r="C7" s="1" t="s">
        <x:v>134</x:v>
      </x:c>
      <x:c r="D7" s="1" t="s">
        <x:v>161</x:v>
      </x:c>
      <x:c r="E7" s="1" t="s">
        <x:v>114</x:v>
      </x:c>
      <x:c r="F7" s="1" t="s">
        <x:v>135</x:v>
      </x:c>
      <x:c r="G7" s="1" t="s">
        <x:v>174</x:v>
      </x:c>
      <x:c r="H7" s="1" t="s">
        <x:v>117</x:v>
      </x:c>
      <x:c r="I7" s="1" t="s">
        <x:v>132</x:v>
      </x:c>
      <x:c r="J7" s="1" t="s">
        <x:v>144</x:v>
      </x:c>
      <x:c r="K7" s="1" t="s">
        <x:v>118</x:v>
      </x:c>
      <x:c r="L7" s="1" t="s">
        <x:v>130</x:v>
      </x:c>
      <x:c r="M7" s="1" t="s">
        <x:v>165</x:v>
      </x:c>
      <x:c r="N7" s="1" t="s">
        <x:v>135</x:v>
      </x:c>
      <x:c r="O7" s="1" t="s">
        <x:v>127</x:v>
      </x:c>
      <x:c r="P7" s="1" t="s">
        <x:v>136</x:v>
      </x:c>
      <x:c r="Q7" s="1" t="s">
        <x:v>168</x:v>
      </x:c>
      <x:c r="R7" s="1" t="s">
        <x:v>136</x:v>
      </x:c>
      <x:c r="S7" s="1" t="s">
        <x:v>136</x:v>
      </x:c>
      <x:c r="T7" s="1" t="s">
        <x:v>159</x:v>
      </x:c>
      <x:c r="U7" s="1" t="s">
        <x:v>123</x:v>
      </x:c>
      <x:c r="V7" s="1" t="s">
        <x:v>133</x:v>
      </x:c>
      <x:c r="W7" s="1" t="s">
        <x:v>117</x:v>
      </x:c>
      <x:c r="X7" s="1" t="s">
        <x:v>125</x:v>
      </x:c>
      <x:c r="Y7" s="1" t="s">
        <x:v>114</x:v>
      </x:c>
      <x:c r="Z7" s="1" t="s">
        <x:v>154</x:v>
      </x:c>
      <x:c r="AA7" s="1" t="s">
        <x:v>135</x:v>
      </x:c>
      <x:c r="AB7" s="1" t="s">
        <x:v>131</x:v>
      </x:c>
      <x:c r="AC7" s="1" t="s">
        <x:v>175</x:v>
      </x:c>
      <x:c r="AD7" s="1" t="s">
        <x:v>166</x:v>
      </x:c>
      <x:c r="AE7" s="1" t="s">
        <x:v>155</x:v>
      </x:c>
      <x:c r="AF7" s="1" t="s">
        <x:v>176</x:v>
      </x:c>
      <x:c r="AG7" s="1" t="s">
        <x:v>174</x:v>
      </x:c>
      <x:c r="AH7" s="1" t="s">
        <x:v>164</x:v>
      </x:c>
      <x:c r="AI7" s="1" t="s">
        <x:v>144</x:v>
      </x:c>
      <x:c r="AJ7" s="1" t="s">
        <x:v>150</x:v>
      </x:c>
      <x:c r="AK7" s="1" t="s">
        <x:v>134</x:v>
      </x:c>
      <x:c r="AL7" s="1" t="s">
        <x:v>156</x:v>
      </x:c>
      <x:c r="AM7" s="1" t="s">
        <x:v>116</x:v>
      </x:c>
      <x:c r="AN7" s="1" t="s">
        <x:v>116</x:v>
      </x:c>
      <x:c r="AO7" s="1" t="s">
        <x:v>115</x:v>
      </x:c>
      <x:c r="AP7" s="1" t="s">
        <x:v>177</x:v>
      </x:c>
      <x:c r="AQ7" s="1" t="s">
        <x:v>166</x:v>
      </x:c>
      <x:c r="AR7" s="1" t="s">
        <x:v>164</x:v>
      </x:c>
      <x:c r="AS7" s="1" t="s">
        <x:v>127</x:v>
      </x:c>
      <x:c r="AT7" s="1" t="s">
        <x:v>123</x:v>
      </x:c>
      <x:c r="AU7" s="1" t="s">
        <x:v>132</x:v>
      </x:c>
      <x:c r="AV7" s="1" t="s">
        <x:v>165</x:v>
      </x:c>
      <x:c r="AW7" s="1" t="s">
        <x:v>113</x:v>
      </x:c>
      <x:c r="AX7" s="1" t="s">
        <x:v>160</x:v>
      </x:c>
      <x:c r="AY7" s="1" t="s">
        <x:v>138</x:v>
      </x:c>
      <x:c r="AZ7" s="1" t="s">
        <x:v>139</x:v>
      </x:c>
      <x:c r="BA7" s="1" t="s">
        <x:v>172</x:v>
      </x:c>
      <x:c r="BB7" s="1" t="s">
        <x:v>141</x:v>
      </x:c>
      <x:c r="BC7" s="1" t="s">
        <x:v>134</x:v>
      </x:c>
      <x:c r="BD7" s="1" t="s">
        <x:v>178</x:v>
      </x:c>
      <x:c r="BE7" s="11" t="n">
        <x:f>ROUND((((B7*2+C7+D7+E7+F7*2+G7+H7+I7)/10)+((J7*2+K7+L7+M7+N7*2+O7+P7+Q7)/10)*2)/3,2)</x:f>
        <x:v>6.41</x:v>
      </x:c>
      <x:c r="BF7" s="11" t="n">
        <x:f>ROUND((((R7*2+S7+T7+U7+V7*2+W7+X7+Y7)/10)+((Z7*2+AA7+AB7+AC7+AD7*2+AE7+AF7+AG7)/10)*2)/3,2)</x:f>
        <x:v>6.52</x:v>
      </x:c>
      <x:c r="BG7" s="11" t="n">
        <x:f>ROUND((((AH7*2+AI7+AJ7+AK7+AL7*2+AM7+AN7+AO7)/10)+((AP7*2+AQ7+AR7+AS7+AT7*2+AU7+AV7+AW7)/10)*2)/3,2)</x:f>
        <x:v>6.63</x:v>
      </x:c>
      <x:c r="BH7" s="13" t="str">
        <x:f>IF(BE7&lt;5,"Y",IF(BE7&lt;6.5,"TB",IF(BE7&lt;8,"K",IF(BE7&lt;9,"G","XS"))))</x:f>
        <x:v>TB</x:v>
      </x:c>
      <x:c r="BI7" s="13" t="str">
        <x:f>IF(BF7&lt;5,"Y",IF(BF7&lt;6.5,"TB",IF(BF7&lt;8,"K",IF(BF7&lt;9,"G","XS"))))</x:f>
        <x:v>K</x:v>
      </x:c>
      <x:c r="BJ7" s="13" t="str">
        <x:f>IF(BG7&lt;5,"Y",IF(BG7&lt;6.5,"TB",IF(BG7&lt;8,"K",IF(BG7&lt;9,"G","XS"))))</x:f>
        <x:v>K</x:v>
      </x:c>
      <x:c r="BK7" s="11" t="n">
        <x:f>ROUND((BE7/10)*4,2)</x:f>
        <x:v>2.56</x:v>
      </x:c>
      <x:c r="BL7" s="11" t="n">
        <x:f>ROUND((BF7/10)*4,2)</x:f>
        <x:v>2.61</x:v>
      </x:c>
      <x:c r="BM7" s="11" t="n">
        <x:f>ROUND((BG7/10)*4,2)</x:f>
        <x:v>2.65</x:v>
      </x:c>
      <x:c r="BN7" s="13" t="n">
        <x:f>IF(IF(OR(BD7="A",BD7="A1"),(BA7*2+BB7+BC7)/4,IF(BD7="B",(BA7+BB7*2+BC7)/4,(BA7+BB7+BC7)/3))&gt;=5,1,0)</x:f>
        <x:v>0</x:v>
      </x:c>
    </x:row>
    <x:row r="8">
      <x:c r="A8" s="1" t="s">
        <x:v>161</x:v>
      </x:c>
      <x:c r="B8" s="1" t="s">
        <x:v>179</x:v>
      </x:c>
      <x:c r="C8" s="1" t="s">
        <x:v>136</x:v>
      </x:c>
      <x:c r="D8" s="1" t="s">
        <x:v>117</x:v>
      </x:c>
      <x:c r="E8" s="1" t="s">
        <x:v>176</x:v>
      </x:c>
      <x:c r="F8" s="1" t="s">
        <x:v>116</x:v>
      </x:c>
      <x:c r="G8" s="1" t="s">
        <x:v>114</x:v>
      </x:c>
      <x:c r="H8" s="1" t="s">
        <x:v>174</x:v>
      </x:c>
      <x:c r="I8" s="1" t="s">
        <x:v>117</x:v>
      </x:c>
      <x:c r="J8" s="1" t="s">
        <x:v>180</x:v>
      </x:c>
      <x:c r="K8" s="1" t="s">
        <x:v>181</x:v>
      </x:c>
      <x:c r="L8" s="1" t="s">
        <x:v>177</x:v>
      </x:c>
      <x:c r="M8" s="1" t="s">
        <x:v>124</x:v>
      </x:c>
      <x:c r="N8" s="1" t="s">
        <x:v>174</x:v>
      </x:c>
      <x:c r="O8" s="1" t="s">
        <x:v>177</x:v>
      </x:c>
      <x:c r="P8" s="1" t="s">
        <x:v>182</x:v>
      </x:c>
      <x:c r="Q8" s="1" t="s">
        <x:v>183</x:v>
      </x:c>
      <x:c r="R8" s="1" t="s">
        <x:v>129</x:v>
      </x:c>
      <x:c r="S8" s="1" t="s">
        <x:v>184</x:v>
      </x:c>
      <x:c r="T8" s="1" t="s">
        <x:v>128</x:v>
      </x:c>
      <x:c r="U8" s="1" t="s">
        <x:v>124</x:v>
      </x:c>
      <x:c r="V8" s="1" t="s">
        <x:v>113</x:v>
      </x:c>
      <x:c r="W8" s="1" t="s">
        <x:v>119</x:v>
      </x:c>
      <x:c r="X8" s="1" t="s">
        <x:v>174</x:v>
      </x:c>
      <x:c r="Y8" s="1" t="s">
        <x:v>185</x:v>
      </x:c>
      <x:c r="Z8" s="1" t="s">
        <x:v>184</x:v>
      </x:c>
      <x:c r="AA8" s="1" t="s">
        <x:v>184</x:v>
      </x:c>
      <x:c r="AB8" s="1" t="s">
        <x:v>174</x:v>
      </x:c>
      <x:c r="AC8" s="1" t="s">
        <x:v>182</x:v>
      </x:c>
      <x:c r="AD8" s="1" t="s">
        <x:v>177</x:v>
      </x:c>
      <x:c r="AE8" s="1" t="s">
        <x:v>123</x:v>
      </x:c>
      <x:c r="AF8" s="1" t="s">
        <x:v>114</x:v>
      </x:c>
      <x:c r="AG8" s="1" t="s">
        <x:v>186</x:v>
      </x:c>
      <x:c r="AH8" s="1" t="s">
        <x:v>184</x:v>
      </x:c>
      <x:c r="AI8" s="1" t="s">
        <x:v>136</x:v>
      </x:c>
      <x:c r="AJ8" s="1" t="s">
        <x:v>128</x:v>
      </x:c>
      <x:c r="AK8" s="1" t="s">
        <x:v>122</x:v>
      </x:c>
      <x:c r="AL8" s="1" t="s">
        <x:v>119</x:v>
      </x:c>
      <x:c r="AM8" s="1" t="s">
        <x:v>123</x:v>
      </x:c>
      <x:c r="AN8" s="1" t="s">
        <x:v>123</x:v>
      </x:c>
      <x:c r="AO8" s="1" t="s">
        <x:v>185</x:v>
      </x:c>
      <x:c r="AP8" s="1" t="s">
        <x:v>181</x:v>
      </x:c>
      <x:c r="AQ8" s="1" t="s">
        <x:v>168</x:v>
      </x:c>
      <x:c r="AR8" s="1" t="s">
        <x:v>113</x:v>
      </x:c>
      <x:c r="AS8" s="1" t="s">
        <x:v>174</x:v>
      </x:c>
      <x:c r="AT8" s="1" t="s">
        <x:v>174</x:v>
      </x:c>
      <x:c r="AU8" s="1" t="s">
        <x:v>133</x:v>
      </x:c>
      <x:c r="AV8" s="1" t="s">
        <x:v>177</x:v>
      </x:c>
      <x:c r="AW8" s="1" t="s">
        <x:v>181</x:v>
      </x:c>
      <x:c r="AX8" s="1" t="s">
        <x:v>160</x:v>
      </x:c>
      <x:c r="AY8" s="1" t="s">
        <x:v>138</x:v>
      </x:c>
      <x:c r="AZ8" s="1" t="s">
        <x:v>112</x:v>
      </x:c>
      <x:c r="BA8" s="1" t="s">
        <x:v>187</x:v>
      </x:c>
      <x:c r="BB8" s="1" t="s">
        <x:v>146</x:v>
      </x:c>
      <x:c r="BC8" s="1" t="s">
        <x:v>161</x:v>
      </x:c>
      <x:c r="BD8" s="1" t="s">
        <x:v>63</x:v>
      </x:c>
      <x:c r="BE8" s="11" t="n">
        <x:f>ROUND((((B8*2+C8+D8+E8+F8*2+G8+H8+I8)/10)+((J8*2+K8+L8+M8+N8*2+O8+P8+Q8)/10)*2)/3,2)</x:f>
        <x:v>8.35</x:v>
      </x:c>
      <x:c r="BF8" s="11" t="n">
        <x:f>ROUND((((R8*2+S8+T8+U8+V8*2+W8+X8+Y8)/10)+((Z8*2+AA8+AB8+AC8+AD8*2+AE8+AF8+AG8)/10)*2)/3,2)</x:f>
        <x:v>8.01</x:v>
      </x:c>
      <x:c r="BG8" s="11" t="n">
        <x:f>ROUND((((AH8*2+AI8+AJ8+AK8+AL8*2+AM8+AN8+AO8)/10)+((AP8*2+AQ8+AR8+AS8+AT8*2+AU8+AV8+AW8)/10)*2)/3,2)</x:f>
        <x:v>7.58</x:v>
      </x:c>
      <x:c r="BH8" s="13" t="str">
        <x:f>IF(BE8&lt;5,"Y",IF(BE8&lt;6.5,"TB",IF(BE8&lt;8,"K",IF(BE8&lt;9,"G","XS"))))</x:f>
        <x:v>G</x:v>
      </x:c>
      <x:c r="BI8" s="13" t="str">
        <x:f>IF(BF8&lt;5,"Y",IF(BF8&lt;6.5,"TB",IF(BF8&lt;8,"K",IF(BF8&lt;9,"G","XS"))))</x:f>
        <x:v>G</x:v>
      </x:c>
      <x:c r="BJ8" s="13" t="str">
        <x:f>IF(BG8&lt;5,"Y",IF(BG8&lt;6.5,"TB",IF(BG8&lt;8,"K",IF(BG8&lt;9,"G","XS"))))</x:f>
        <x:v>K</x:v>
      </x:c>
      <x:c r="BK8" s="11" t="n">
        <x:f>ROUND((BE8/10)*4,2)</x:f>
        <x:v>3.34</x:v>
      </x:c>
      <x:c r="BL8" s="11" t="n">
        <x:f>ROUND((BF8/10)*4,2)</x:f>
        <x:v>3.2</x:v>
      </x:c>
      <x:c r="BM8" s="11" t="n">
        <x:f>ROUND((BG8/10)*4,2)</x:f>
        <x:v>3.03</x:v>
      </x:c>
      <x:c r="BN8" s="13" t="n">
        <x:f>IF(IF(OR(BD8="A",BD8="A1"),(BA8*2+BB8+BC8)/4,IF(BD8="B",(BA8+BB8*2+BC8)/4,(BA8+BB8+BC8)/3))&gt;=5,1,0)</x:f>
        <x:v>0</x:v>
      </x:c>
    </x:row>
    <x:row r="9">
      <x:c r="A9" s="1" t="s">
        <x:v>116</x:v>
      </x:c>
      <x:c r="B9" s="1" t="s">
        <x:v>148</x:v>
      </x:c>
      <x:c r="C9" s="1" t="s">
        <x:v>145</x:v>
      </x:c>
      <x:c r="D9" s="1" t="s">
        <x:v>118</x:v>
      </x:c>
      <x:c r="E9" s="1" t="s">
        <x:v>127</x:v>
      </x:c>
      <x:c r="F9" s="1" t="s">
        <x:v>134</x:v>
      </x:c>
      <x:c r="G9" s="1" t="s">
        <x:v>114</x:v>
      </x:c>
      <x:c r="H9" s="1" t="s">
        <x:v>158</x:v>
      </x:c>
      <x:c r="I9" s="1" t="s">
        <x:v>126</x:v>
      </x:c>
      <x:c r="J9" s="1" t="s">
        <x:v>154</x:v>
      </x:c>
      <x:c r="K9" s="1" t="s">
        <x:v>159</x:v>
      </x:c>
      <x:c r="L9" s="1" t="s">
        <x:v>118</x:v>
      </x:c>
      <x:c r="M9" s="1" t="s">
        <x:v>174</x:v>
      </x:c>
      <x:c r="N9" s="1" t="s">
        <x:v>134</x:v>
      </x:c>
      <x:c r="O9" s="1" t="s">
        <x:v>123</x:v>
      </x:c>
      <x:c r="P9" s="1" t="s">
        <x:v>132</x:v>
      </x:c>
      <x:c r="Q9" s="1" t="s">
        <x:v>158</x:v>
      </x:c>
      <x:c r="R9" s="1" t="s">
        <x:v>158</x:v>
      </x:c>
      <x:c r="S9" s="1" t="s">
        <x:v>170</x:v>
      </x:c>
      <x:c r="T9" s="1" t="s">
        <x:v>154</x:v>
      </x:c>
      <x:c r="U9" s="1" t="s">
        <x:v>128</x:v>
      </x:c>
      <x:c r="V9" s="1" t="s">
        <x:v>131</x:v>
      </x:c>
      <x:c r="W9" s="1" t="s">
        <x:v>161</x:v>
      </x:c>
      <x:c r="X9" s="1" t="s">
        <x:v>170</x:v>
      </x:c>
      <x:c r="Y9" s="1" t="s">
        <x:v>145</x:v>
      </x:c>
      <x:c r="Z9" s="1" t="s">
        <x:v>150</x:v>
      </x:c>
      <x:c r="AA9" s="1" t="s">
        <x:v>115</x:v>
      </x:c>
      <x:c r="AB9" s="1" t="s">
        <x:v>170</x:v>
      </x:c>
      <x:c r="AC9" s="1" t="s">
        <x:v>129</x:v>
      </x:c>
      <x:c r="AD9" s="1" t="s">
        <x:v>164</x:v>
      </x:c>
      <x:c r="AE9" s="1" t="s">
        <x:v>174</x:v>
      </x:c>
      <x:c r="AF9" s="1" t="s">
        <x:v>123</x:v>
      </x:c>
      <x:c r="AG9" s="1" t="s">
        <x:v>131</x:v>
      </x:c>
      <x:c r="AH9" s="1" t="s">
        <x:v>144</x:v>
      </x:c>
      <x:c r="AI9" s="1" t="s">
        <x:v>141</x:v>
      </x:c>
      <x:c r="AJ9" s="1" t="s">
        <x:v>134</x:v>
      </x:c>
      <x:c r="AK9" s="1" t="s">
        <x:v>134</x:v>
      </x:c>
      <x:c r="AL9" s="1" t="s">
        <x:v>130</x:v>
      </x:c>
      <x:c r="AM9" s="1" t="s">
        <x:v>132</x:v>
      </x:c>
      <x:c r="AN9" s="1" t="s">
        <x:v>132</x:v>
      </x:c>
      <x:c r="AO9" s="1" t="s">
        <x:v>170</x:v>
      </x:c>
      <x:c r="AP9" s="1" t="s">
        <x:v>147</x:v>
      </x:c>
      <x:c r="AQ9" s="1" t="s">
        <x:v>116</x:v>
      </x:c>
      <x:c r="AR9" s="1" t="s">
        <x:v>161</x:v>
      </x:c>
      <x:c r="AS9" s="1" t="s">
        <x:v>133</x:v>
      </x:c>
      <x:c r="AT9" s="1" t="s">
        <x:v>132</x:v>
      </x:c>
      <x:c r="AU9" s="1" t="s">
        <x:v>123</x:v>
      </x:c>
      <x:c r="AV9" s="1" t="s">
        <x:v>161</x:v>
      </x:c>
      <x:c r="AW9" s="1" t="s">
        <x:v>161</x:v>
      </x:c>
      <x:c r="AX9" s="1" t="s">
        <x:v>137</x:v>
      </x:c>
      <x:c r="AY9" s="1" t="s">
        <x:v>138</x:v>
      </x:c>
      <x:c r="AZ9" s="1" t="s">
        <x:v>143</x:v>
      </x:c>
      <x:c r="BA9" s="1" t="s">
        <x:v>135</x:v>
      </x:c>
      <x:c r="BB9" s="1" t="s">
        <x:v>171</x:v>
      </x:c>
      <x:c r="BC9" s="1" t="s">
        <x:v>173</x:v>
      </x:c>
      <x:c r="BD9" s="1" t="s">
        <x:v>163</x:v>
      </x:c>
      <x:c r="BE9" s="11" t="n">
        <x:f>ROUND((((B9*2+C9+D9+E9+F9*2+G9+H9+I9)/10)+((J9*2+K9+L9+M9+N9*2+O9+P9+Q9)/10)*2)/3,2)</x:f>
        <x:v>5.37</x:v>
      </x:c>
      <x:c r="BF9" s="11" t="n">
        <x:f>ROUND((((R9*2+S9+T9+U9+V9*2+W9+X9+Y9)/10)+((Z9*2+AA9+AB9+AC9+AD9*2+AE9+AF9+AG9)/10)*2)/3,2)</x:f>
        <x:v>5.82</x:v>
      </x:c>
      <x:c r="BG9" s="11" t="n">
        <x:f>ROUND((((AH9*2+AI9+AJ9+AK9+AL9*2+AM9+AN9+AO9)/10)+((AP9*2+AQ9+AR9+AS9+AT9*2+AU9+AV9+AW9)/10)*2)/3,2)</x:f>
        <x:v>5.81</x:v>
      </x:c>
      <x:c r="BH9" s="13" t="str">
        <x:f>IF(BE9&lt;5,"Y",IF(BE9&lt;6.5,"TB",IF(BE9&lt;8,"K",IF(BE9&lt;9,"G","XS"))))</x:f>
        <x:v>TB</x:v>
      </x:c>
      <x:c r="BI9" s="13" t="str">
        <x:f>IF(BF9&lt;5,"Y",IF(BF9&lt;6.5,"TB",IF(BF9&lt;8,"K",IF(BF9&lt;9,"G","XS"))))</x:f>
        <x:v>TB</x:v>
      </x:c>
      <x:c r="BJ9" s="13" t="str">
        <x:f>IF(BG9&lt;5,"Y",IF(BG9&lt;6.5,"TB",IF(BG9&lt;8,"K",IF(BG9&lt;9,"G","XS"))))</x:f>
        <x:v>TB</x:v>
      </x:c>
      <x:c r="BK9" s="11" t="n">
        <x:f>ROUND((BE9/10)*4,2)</x:f>
        <x:v>2.15</x:v>
      </x:c>
      <x:c r="BL9" s="11" t="n">
        <x:f>ROUND((BF9/10)*4,2)</x:f>
        <x:v>2.33</x:v>
      </x:c>
      <x:c r="BM9" s="11" t="n">
        <x:f>ROUND((BG9/10)*4,2)</x:f>
        <x:v>2.32</x:v>
      </x:c>
      <x:c r="BN9" s="13" t="n">
        <x:f>IF(IF(OR(BD9="A",BD9="A1"),(BA9*2+BB9+BC9)/4,IF(BD9="B",(BA9+BB9*2+BC9)/4,(BA9+BB9+BC9)/3))&gt;=5,1,0)</x:f>
        <x:v>1</x:v>
      </x:c>
    </x:row>
    <x:row r="10">
      <x:c r="A10" s="1" t="s">
        <x:v>177</x:v>
      </x:c>
      <x:c r="B10" s="1" t="s">
        <x:v>175</x:v>
      </x:c>
      <x:c r="C10" s="1" t="s">
        <x:v>161</x:v>
      </x:c>
      <x:c r="D10" s="1" t="s">
        <x:v>136</x:v>
      </x:c>
      <x:c r="E10" s="1" t="s">
        <x:v>156</x:v>
      </x:c>
      <x:c r="F10" s="1" t="s">
        <x:v>165</x:v>
      </x:c>
      <x:c r="G10" s="1" t="s">
        <x:v>150</x:v>
      </x:c>
      <x:c r="H10" s="1" t="s">
        <x:v>121</x:v>
      </x:c>
      <x:c r="I10" s="1" t="s">
        <x:v>113</x:v>
      </x:c>
      <x:c r="J10" s="1" t="s">
        <x:v>159</x:v>
      </x:c>
      <x:c r="K10" s="1" t="s">
        <x:v>115</x:v>
      </x:c>
      <x:c r="L10" s="1" t="s">
        <x:v>168</x:v>
      </x:c>
      <x:c r="M10" s="1" t="s">
        <x:v>129</x:v>
      </x:c>
      <x:c r="N10" s="1" t="s">
        <x:v>114</x:v>
      </x:c>
      <x:c r="O10" s="1" t="s">
        <x:v>127</x:v>
      </x:c>
      <x:c r="P10" s="1" t="s">
        <x:v>132</x:v>
      </x:c>
      <x:c r="Q10" s="1" t="s">
        <x:v>117</x:v>
      </x:c>
      <x:c r="R10" s="1" t="s">
        <x:v>176</x:v>
      </x:c>
      <x:c r="S10" s="1" t="s">
        <x:v>133</x:v>
      </x:c>
      <x:c r="T10" s="1" t="s">
        <x:v>127</x:v>
      </x:c>
      <x:c r="U10" s="1" t="s">
        <x:v>123</x:v>
      </x:c>
      <x:c r="V10" s="1" t="s">
        <x:v>125</x:v>
      </x:c>
      <x:c r="W10" s="1" t="s">
        <x:v>161</x:v>
      </x:c>
      <x:c r="X10" s="1" t="s">
        <x:v>121</x:v>
      </x:c>
      <x:c r="Y10" s="1" t="s">
        <x:v>135</x:v>
      </x:c>
      <x:c r="Z10" s="1" t="s">
        <x:v>175</x:v>
      </x:c>
      <x:c r="AA10" s="1" t="s">
        <x:v>147</x:v>
      </x:c>
      <x:c r="AB10" s="1" t="s">
        <x:v>166</x:v>
      </x:c>
      <x:c r="AC10" s="1" t="s">
        <x:v>168</x:v>
      </x:c>
      <x:c r="AD10" s="1" t="s">
        <x:v>136</x:v>
      </x:c>
      <x:c r="AE10" s="1" t="s">
        <x:v>144</x:v>
      </x:c>
      <x:c r="AF10" s="1" t="s">
        <x:v>159</x:v>
      </x:c>
      <x:c r="AG10" s="1" t="s">
        <x:v>115</x:v>
      </x:c>
      <x:c r="AH10" s="1" t="s">
        <x:v>184</x:v>
      </x:c>
      <x:c r="AI10" s="1" t="s">
        <x:v>116</x:v>
      </x:c>
      <x:c r="AJ10" s="1" t="s">
        <x:v>132</x:v>
      </x:c>
      <x:c r="AK10" s="1" t="s">
        <x:v>168</x:v>
      </x:c>
      <x:c r="AL10" s="1" t="s">
        <x:v>123</x:v>
      </x:c>
      <x:c r="AM10" s="1" t="s">
        <x:v>170</x:v>
      </x:c>
      <x:c r="AN10" s="1" t="s">
        <x:v>125</x:v>
      </x:c>
      <x:c r="AO10" s="1" t="s">
        <x:v>127</x:v>
      </x:c>
      <x:c r="AP10" s="1" t="s">
        <x:v>175</x:v>
      </x:c>
      <x:c r="AQ10" s="1" t="s">
        <x:v>159</x:v>
      </x:c>
      <x:c r="AR10" s="1" t="s">
        <x:v>131</x:v>
      </x:c>
      <x:c r="AS10" s="1" t="s">
        <x:v>130</x:v>
      </x:c>
      <x:c r="AT10" s="1" t="s">
        <x:v>114</x:v>
      </x:c>
      <x:c r="AU10" s="1" t="s">
        <x:v>129</x:v>
      </x:c>
      <x:c r="AV10" s="1" t="s">
        <x:v>164</x:v>
      </x:c>
      <x:c r="AW10" s="1" t="s">
        <x:v>116</x:v>
      </x:c>
      <x:c r="AX10" s="1" t="s">
        <x:v>137</x:v>
      </x:c>
      <x:c r="AY10" s="1" t="s">
        <x:v>138</x:v>
      </x:c>
      <x:c r="AZ10" s="1" t="s">
        <x:v>143</x:v>
      </x:c>
      <x:c r="BA10" s="1" t="s">
        <x:v>188</x:v>
      </x:c>
      <x:c r="BB10" s="1" t="s">
        <x:v>141</x:v>
      </x:c>
      <x:c r="BC10" s="1" t="s">
        <x:v>172</x:v>
      </x:c>
      <x:c r="BD10" s="1" t="s">
        <x:v>63</x:v>
      </x:c>
      <x:c r="BE10" s="11" t="n">
        <x:f>ROUND((((B10*2+C10+D10+E10+F10*2+G10+H10+I10)/10)+((J10*2+K10+L10+M10+N10*2+O10+P10+Q10)/10)*2)/3,2)</x:f>
        <x:v>6.85</x:v>
      </x:c>
      <x:c r="BF10" s="11" t="n">
        <x:f>ROUND((((R10*2+S10+T10+U10+V10*2+W10+X10+Y10)/10)+((Z10*2+AA10+AB10+AC10+AD10*2+AE10+AF10+AG10)/10)*2)/3,2)</x:f>
        <x:v>6.86</x:v>
      </x:c>
      <x:c r="BG10" s="11" t="n">
        <x:f>ROUND((((AH10*2+AI10+AJ10+AK10+AL10*2+AM10+AN10+AO10)/10)+((AP10*2+AQ10+AR10+AS10+AT10*2+AU10+AV10+AW10)/10)*2)/3,2)</x:f>
        <x:v>6.98</x:v>
      </x:c>
      <x:c r="BH10" s="13" t="str">
        <x:f>IF(BE10&lt;5,"Y",IF(BE10&lt;6.5,"TB",IF(BE10&lt;8,"K",IF(BE10&lt;9,"G","XS"))))</x:f>
        <x:v>K</x:v>
      </x:c>
      <x:c r="BI10" s="13" t="str">
        <x:f>IF(BF10&lt;5,"Y",IF(BF10&lt;6.5,"TB",IF(BF10&lt;8,"K",IF(BF10&lt;9,"G","XS"))))</x:f>
        <x:v>K</x:v>
      </x:c>
      <x:c r="BJ10" s="13" t="str">
        <x:f>IF(BG10&lt;5,"Y",IF(BG10&lt;6.5,"TB",IF(BG10&lt;8,"K",IF(BG10&lt;9,"G","XS"))))</x:f>
        <x:v>K</x:v>
      </x:c>
      <x:c r="BK10" s="11" t="n">
        <x:f>ROUND((BE10/10)*4,2)</x:f>
        <x:v>2.74</x:v>
      </x:c>
      <x:c r="BL10" s="11" t="n">
        <x:f>ROUND((BF10/10)*4,2)</x:f>
        <x:v>2.74</x:v>
      </x:c>
      <x:c r="BM10" s="11" t="n">
        <x:f>ROUND((BG10/10)*4,2)</x:f>
        <x:v>2.79</x:v>
      </x:c>
      <x:c r="BN10" s="13" t="n">
        <x:f>IF(IF(OR(BD10="A",BD10="A1"),(BA10*2+BB10+BC10)/4,IF(BD10="B",(BA10+BB10*2+BC10)/4,(BA10+BB10+BC10)/3))&gt;=5,1,0)</x:f>
        <x:v>0</x:v>
      </x:c>
    </x:row>
    <x:row r="11">
      <x:c r="A11" s="1" t="s">
        <x:v>122</x:v>
      </x:c>
      <x:c r="B11" s="1" t="s">
        <x:v>135</x:v>
      </x:c>
      <x:c r="C11" s="1" t="s">
        <x:v>115</x:v>
      </x:c>
      <x:c r="D11" s="1" t="s">
        <x:v>136</x:v>
      </x:c>
      <x:c r="E11" s="1" t="s">
        <x:v>161</x:v>
      </x:c>
      <x:c r="F11" s="1" t="s">
        <x:v>118</x:v>
      </x:c>
      <x:c r="G11" s="1" t="s">
        <x:v>129</x:v>
      </x:c>
      <x:c r="H11" s="1" t="s">
        <x:v>115</x:v>
      </x:c>
      <x:c r="I11" s="1" t="s">
        <x:v>134</x:v>
      </x:c>
      <x:c r="J11" s="1" t="s">
        <x:v>114</x:v>
      </x:c>
      <x:c r="K11" s="1" t="s">
        <x:v>164</x:v>
      </x:c>
      <x:c r="L11" s="1" t="s">
        <x:v>114</x:v>
      </x:c>
      <x:c r="M11" s="1" t="s">
        <x:v>135</x:v>
      </x:c>
      <x:c r="N11" s="1" t="s">
        <x:v>168</x:v>
      </x:c>
      <x:c r="O11" s="1" t="s">
        <x:v>117</x:v>
      </x:c>
      <x:c r="P11" s="1" t="s">
        <x:v>136</x:v>
      </x:c>
      <x:c r="Q11" s="1" t="s">
        <x:v>153</x:v>
      </x:c>
      <x:c r="R11" s="1" t="s">
        <x:v>168</x:v>
      </x:c>
      <x:c r="S11" s="1" t="s">
        <x:v>159</x:v>
      </x:c>
      <x:c r="T11" s="1" t="s">
        <x:v>159</x:v>
      </x:c>
      <x:c r="U11" s="1" t="s">
        <x:v>114</x:v>
      </x:c>
      <x:c r="V11" s="1" t="s">
        <x:v>166</x:v>
      </x:c>
      <x:c r="W11" s="1" t="s">
        <x:v>132</x:v>
      </x:c>
      <x:c r="X11" s="1" t="s">
        <x:v>185</x:v>
      </x:c>
      <x:c r="Y11" s="1" t="s">
        <x:v>133</x:v>
      </x:c>
      <x:c r="Z11" s="1" t="s">
        <x:v>128</x:v>
      </x:c>
      <x:c r="AA11" s="1" t="s">
        <x:v>161</x:v>
      </x:c>
      <x:c r="AB11" s="1" t="s">
        <x:v>115</x:v>
      </x:c>
      <x:c r="AC11" s="1" t="s">
        <x:v>181</x:v>
      </x:c>
      <x:c r="AD11" s="1" t="s">
        <x:v>113</x:v>
      </x:c>
      <x:c r="AE11" s="1" t="s">
        <x:v>136</x:v>
      </x:c>
      <x:c r="AF11" s="1" t="s">
        <x:v>184</x:v>
      </x:c>
      <x:c r="AG11" s="1" t="s">
        <x:v>133</x:v>
      </x:c>
      <x:c r="AH11" s="1" t="s">
        <x:v>174</x:v>
      </x:c>
      <x:c r="AI11" s="1" t="s">
        <x:v>165</x:v>
      </x:c>
      <x:c r="AJ11" s="1" t="s">
        <x:v>186</x:v>
      </x:c>
      <x:c r="AK11" s="1" t="s">
        <x:v>135</x:v>
      </x:c>
      <x:c r="AL11" s="1" t="s">
        <x:v>131</x:v>
      </x:c>
      <x:c r="AM11" s="1" t="s">
        <x:v>131</x:v>
      </x:c>
      <x:c r="AN11" s="1" t="s">
        <x:v>129</x:v>
      </x:c>
      <x:c r="AO11" s="1" t="s">
        <x:v>159</x:v>
      </x:c>
      <x:c r="AP11" s="1" t="s">
        <x:v>174</x:v>
      </x:c>
      <x:c r="AQ11" s="1" t="s">
        <x:v>124</x:v>
      </x:c>
      <x:c r="AR11" s="1" t="s">
        <x:v>120</x:v>
      </x:c>
      <x:c r="AS11" s="1" t="s">
        <x:v>165</x:v>
      </x:c>
      <x:c r="AT11" s="1" t="s">
        <x:v>161</x:v>
      </x:c>
      <x:c r="AU11" s="1" t="s">
        <x:v>183</x:v>
      </x:c>
      <x:c r="AV11" s="1" t="s">
        <x:v>117</x:v>
      </x:c>
      <x:c r="AW11" s="1" t="s">
        <x:v>132</x:v>
      </x:c>
      <x:c r="AX11" s="1" t="s">
        <x:v>137</x:v>
      </x:c>
      <x:c r="AY11" s="1" t="s">
        <x:v>138</x:v>
      </x:c>
      <x:c r="AZ11" s="1" t="s">
        <x:v>112</x:v>
      </x:c>
      <x:c r="BA11" s="1" t="s">
        <x:v>162</x:v>
      </x:c>
      <x:c r="BB11" s="1" t="s">
        <x:v>162</x:v>
      </x:c>
      <x:c r="BC11" s="1" t="s">
        <x:v>171</x:v>
      </x:c>
      <x:c r="BD11" s="1" t="s">
        <x:v>63</x:v>
      </x:c>
      <x:c r="BE11" s="11" t="n">
        <x:f>ROUND((((B11*2+C11+D11+E11+F11*2+G11+H11+I11)/10)+((J11*2+K11+L11+M11+N11*2+O11+P11+Q11)/10)*2)/3,2)</x:f>
        <x:v>6.56</x:v>
      </x:c>
      <x:c r="BF11" s="11" t="n">
        <x:f>ROUND((((R11*2+S11+T11+U11+V11*2+W11+X11+Y11)/10)+((Z11*2+AA11+AB11+AC11+AD11*2+AE11+AF11+AG11)/10)*2)/3,2)</x:f>
        <x:v>7.03</x:v>
      </x:c>
      <x:c r="BG11" s="11" t="n">
        <x:f>ROUND((((AH11*2+AI11+AJ11+AK11+AL11*2+AM11+AN11+AO11)/10)+((AP11*2+AQ11+AR11+AS11+AT11*2+AU11+AV11+AW11)/10)*2)/3,2)</x:f>
        <x:v>7.33</x:v>
      </x:c>
      <x:c r="BH11" s="13" t="str">
        <x:f>IF(BE11&lt;5,"Y",IF(BE11&lt;6.5,"TB",IF(BE11&lt;8,"K",IF(BE11&lt;9,"G","XS"))))</x:f>
        <x:v>K</x:v>
      </x:c>
      <x:c r="BI11" s="13" t="str">
        <x:f>IF(BF11&lt;5,"Y",IF(BF11&lt;6.5,"TB",IF(BF11&lt;8,"K",IF(BF11&lt;9,"G","XS"))))</x:f>
        <x:v>K</x:v>
      </x:c>
      <x:c r="BJ11" s="13" t="str">
        <x:f>IF(BG11&lt;5,"Y",IF(BG11&lt;6.5,"TB",IF(BG11&lt;8,"K",IF(BG11&lt;9,"G","XS"))))</x:f>
        <x:v>K</x:v>
      </x:c>
      <x:c r="BK11" s="11" t="n">
        <x:f>ROUND((BE11/10)*4,2)</x:f>
        <x:v>2.62</x:v>
      </x:c>
      <x:c r="BL11" s="11" t="n">
        <x:f>ROUND((BF11/10)*4,2)</x:f>
        <x:v>2.81</x:v>
      </x:c>
      <x:c r="BM11" s="11" t="n">
        <x:f>ROUND((BG11/10)*4,2)</x:f>
        <x:v>2.93</x:v>
      </x:c>
      <x:c r="BN11" s="13" t="n">
        <x:f>IF(IF(OR(BD11="A",BD11="A1"),(BA11*2+BB11+BC11)/4,IF(BD11="B",(BA11+BB11*2+BC11)/4,(BA11+BB11+BC11)/3))&gt;=5,1,0)</x:f>
        <x:v>0</x:v>
      </x:c>
    </x:row>
    <x:row r="12">
      <x:c r="A12" s="1" t="s">
        <x:v>189</x:v>
      </x:c>
      <x:c r="B12" s="1" t="s">
        <x:v>114</x:v>
      </x:c>
      <x:c r="C12" s="1" t="s">
        <x:v>130</x:v>
      </x:c>
      <x:c r="D12" s="1" t="s">
        <x:v>150</x:v>
      </x:c>
      <x:c r="E12" s="1" t="s">
        <x:v>129</x:v>
      </x:c>
      <x:c r="F12" s="1" t="s">
        <x:v>159</x:v>
      </x:c>
      <x:c r="G12" s="1" t="s">
        <x:v>117</x:v>
      </x:c>
      <x:c r="H12" s="1" t="s">
        <x:v>159</x:v>
      </x:c>
      <x:c r="I12" s="1" t="s">
        <x:v>174</x:v>
      </x:c>
      <x:c r="J12" s="1" t="s">
        <x:v>177</x:v>
      </x:c>
      <x:c r="K12" s="1" t="s">
        <x:v>164</x:v>
      </x:c>
      <x:c r="L12" s="1" t="s">
        <x:v>136</x:v>
      </x:c>
      <x:c r="M12" s="1" t="s">
        <x:v>127</x:v>
      </x:c>
      <x:c r="N12" s="1" t="s">
        <x:v>164</x:v>
      </x:c>
      <x:c r="O12" s="1" t="s">
        <x:v>181</x:v>
      </x:c>
      <x:c r="P12" s="1" t="s">
        <x:v>168</x:v>
      </x:c>
      <x:c r="Q12" s="1" t="s">
        <x:v>125</x:v>
      </x:c>
      <x:c r="R12" s="1" t="s">
        <x:v>135</x:v>
      </x:c>
      <x:c r="S12" s="1" t="s">
        <x:v>114</x:v>
      </x:c>
      <x:c r="T12" s="1" t="s">
        <x:v>161</x:v>
      </x:c>
      <x:c r="U12" s="1" t="s">
        <x:v>181</x:v>
      </x:c>
      <x:c r="V12" s="1" t="s">
        <x:v>113</x:v>
      </x:c>
      <x:c r="W12" s="1" t="s">
        <x:v>117</x:v>
      </x:c>
      <x:c r="X12" s="1" t="s">
        <x:v>129</x:v>
      </x:c>
      <x:c r="Y12" s="1" t="s">
        <x:v>174</x:v>
      </x:c>
      <x:c r="Z12" s="1" t="s">
        <x:v>118</x:v>
      </x:c>
      <x:c r="AA12" s="1" t="s">
        <x:v>116</x:v>
      </x:c>
      <x:c r="AB12" s="1" t="s">
        <x:v>161</x:v>
      </x:c>
      <x:c r="AC12" s="1" t="s">
        <x:v>159</x:v>
      </x:c>
      <x:c r="AD12" s="1" t="s">
        <x:v>177</x:v>
      </x:c>
      <x:c r="AE12" s="1" t="s">
        <x:v>113</x:v>
      </x:c>
      <x:c r="AF12" s="1" t="s">
        <x:v>115</x:v>
      </x:c>
      <x:c r="AG12" s="1" t="s">
        <x:v>113</x:v>
      </x:c>
      <x:c r="AH12" s="1" t="s">
        <x:v>165</x:v>
      </x:c>
      <x:c r="AI12" s="1" t="s">
        <x:v>116</x:v>
      </x:c>
      <x:c r="AJ12" s="1" t="s">
        <x:v>177</x:v>
      </x:c>
      <x:c r="AK12" s="1" t="s">
        <x:v>130</x:v>
      </x:c>
      <x:c r="AL12" s="1" t="s">
        <x:v>129</x:v>
      </x:c>
      <x:c r="AM12" s="1" t="s">
        <x:v>115</x:v>
      </x:c>
      <x:c r="AN12" s="1" t="s">
        <x:v>156</x:v>
      </x:c>
      <x:c r="AO12" s="1" t="s">
        <x:v>129</x:v>
      </x:c>
      <x:c r="AP12" s="1" t="s">
        <x:v>127</x:v>
      </x:c>
      <x:c r="AQ12" s="1" t="s">
        <x:v>116</x:v>
      </x:c>
      <x:c r="AR12" s="1" t="s">
        <x:v>159</x:v>
      </x:c>
      <x:c r="AS12" s="1" t="s">
        <x:v>129</x:v>
      </x:c>
      <x:c r="AT12" s="1" t="s">
        <x:v>174</x:v>
      </x:c>
      <x:c r="AU12" s="1" t="s">
        <x:v>168</x:v>
      </x:c>
      <x:c r="AV12" s="1" t="s">
        <x:v>132</x:v>
      </x:c>
      <x:c r="AW12" s="1" t="s">
        <x:v>181</x:v>
      </x:c>
      <x:c r="AX12" s="1" t="s">
        <x:v>137</x:v>
      </x:c>
      <x:c r="AY12" s="1" t="s">
        <x:v>138</x:v>
      </x:c>
      <x:c r="AZ12" s="1" t="s">
        <x:v>112</x:v>
      </x:c>
      <x:c r="BA12" s="1" t="s">
        <x:v>146</x:v>
      </x:c>
      <x:c r="BB12" s="1" t="s">
        <x:v>190</x:v>
      </x:c>
      <x:c r="BC12" s="1" t="s">
        <x:v>118</x:v>
      </x:c>
      <x:c r="BD12" s="1" t="s">
        <x:v>63</x:v>
      </x:c>
      <x:c r="BE12" s="11" t="n">
        <x:f>ROUND((((B12*2+C12+D12+E12+F12*2+G12+H12+I12)/10)+((J12*2+K12+L12+M12+N12*2+O12+P12+Q12)/10)*2)/3,2)</x:f>
        <x:v>7.1</x:v>
      </x:c>
      <x:c r="BF12" s="11" t="n">
        <x:f>ROUND((((R12*2+S12+T12+U12+V12*2+W12+X12+Y12)/10)+((Z12*2+AA12+AB12+AC12+AD12*2+AE12+AF12+AG12)/10)*2)/3,2)</x:f>
        <x:v>6.87</x:v>
      </x:c>
      <x:c r="BG12" s="11" t="n">
        <x:f>ROUND((((AH12*2+AI12+AJ12+AK12+AL12*2+AM12+AN12+AO12)/10)+((AP12*2+AQ12+AR12+AS12+AT12*2+AU12+AV12+AW12)/10)*2)/3,2)</x:f>
        <x:v>6.97</x:v>
      </x:c>
      <x:c r="BH12" s="13" t="str">
        <x:f>IF(BE12&lt;5,"Y",IF(BE12&lt;6.5,"TB",IF(BE12&lt;8,"K",IF(BE12&lt;9,"G","XS"))))</x:f>
        <x:v>K</x:v>
      </x:c>
      <x:c r="BI12" s="13" t="str">
        <x:f>IF(BF12&lt;5,"Y",IF(BF12&lt;6.5,"TB",IF(BF12&lt;8,"K",IF(BF12&lt;9,"G","XS"))))</x:f>
        <x:v>K</x:v>
      </x:c>
      <x:c r="BJ12" s="13" t="str">
        <x:f>IF(BG12&lt;5,"Y",IF(BG12&lt;6.5,"TB",IF(BG12&lt;8,"K",IF(BG12&lt;9,"G","XS"))))</x:f>
        <x:v>K</x:v>
      </x:c>
      <x:c r="BK12" s="11" t="n">
        <x:f>ROUND((BE12/10)*4,2)</x:f>
        <x:v>2.84</x:v>
      </x:c>
      <x:c r="BL12" s="11" t="n">
        <x:f>ROUND((BF12/10)*4,2)</x:f>
        <x:v>2.75</x:v>
      </x:c>
      <x:c r="BM12" s="11" t="n">
        <x:f>ROUND((BG12/10)*4,2)</x:f>
        <x:v>2.79</x:v>
      </x:c>
      <x:c r="BN12" s="13" t="n">
        <x:f>IF(IF(OR(BD12="A",BD12="A1"),(BA12*2+BB12+BC12)/4,IF(BD12="B",(BA12+BB12*2+BC12)/4,(BA12+BB12+BC12)/3))&gt;=5,1,0)</x:f>
        <x:v>0</x:v>
      </x:c>
    </x:row>
    <x:row r="13">
      <x:c r="A13" s="1" t="s">
        <x:v>191</x:v>
      </x:c>
      <x:c r="B13" s="1" t="s">
        <x:v>126</x:v>
      </x:c>
      <x:c r="C13" s="1" t="s">
        <x:v>168</x:v>
      </x:c>
      <x:c r="D13" s="1" t="s">
        <x:v>125</x:v>
      </x:c>
      <x:c r="E13" s="1" t="s">
        <x:v>116</x:v>
      </x:c>
      <x:c r="F13" s="1" t="s">
        <x:v>129</x:v>
      </x:c>
      <x:c r="G13" s="1" t="s">
        <x:v>128</x:v>
      </x:c>
      <x:c r="H13" s="1" t="s">
        <x:v>136</x:v>
      </x:c>
      <x:c r="I13" s="1" t="s">
        <x:v>164</x:v>
      </x:c>
      <x:c r="J13" s="1" t="s">
        <x:v>115</x:v>
      </x:c>
      <x:c r="K13" s="1" t="s">
        <x:v>135</x:v>
      </x:c>
      <x:c r="L13" s="1" t="s">
        <x:v>119</x:v>
      </x:c>
      <x:c r="M13" s="1" t="s">
        <x:v>165</x:v>
      </x:c>
      <x:c r="N13" s="1" t="s">
        <x:v>115</x:v>
      </x:c>
      <x:c r="O13" s="1" t="s">
        <x:v>183</x:v>
      </x:c>
      <x:c r="P13" s="1" t="s">
        <x:v>176</x:v>
      </x:c>
      <x:c r="Q13" s="1" t="s">
        <x:v>165</x:v>
      </x:c>
      <x:c r="R13" s="1" t="s">
        <x:v>181</x:v>
      </x:c>
      <x:c r="S13" s="1" t="s">
        <x:v>117</x:v>
      </x:c>
      <x:c r="T13" s="1" t="s">
        <x:v>125</x:v>
      </x:c>
      <x:c r="U13" s="1" t="s">
        <x:v>119</x:v>
      </x:c>
      <x:c r="V13" s="1" t="s">
        <x:v>133</x:v>
      </x:c>
      <x:c r="W13" s="1" t="s">
        <x:v>180</x:v>
      </x:c>
      <x:c r="X13" s="1" t="s">
        <x:v>119</x:v>
      </x:c>
      <x:c r="Y13" s="1" t="s">
        <x:v>181</x:v>
      </x:c>
      <x:c r="Z13" s="1" t="s">
        <x:v>136</x:v>
      </x:c>
      <x:c r="AA13" s="1" t="s">
        <x:v>133</x:v>
      </x:c>
      <x:c r="AB13" s="1" t="s">
        <x:v>168</x:v>
      </x:c>
      <x:c r="AC13" s="1" t="s">
        <x:v>185</x:v>
      </x:c>
      <x:c r="AD13" s="1" t="s">
        <x:v>159</x:v>
      </x:c>
      <x:c r="AE13" s="1" t="s">
        <x:v>114</x:v>
      </x:c>
      <x:c r="AF13" s="1" t="s">
        <x:v>175</x:v>
      </x:c>
      <x:c r="AG13" s="1" t="s">
        <x:v>165</x:v>
      </x:c>
      <x:c r="AH13" s="1" t="s">
        <x:v>166</x:v>
      </x:c>
      <x:c r="AI13" s="1" t="s">
        <x:v>132</x:v>
      </x:c>
      <x:c r="AJ13" s="1" t="s">
        <x:v>130</x:v>
      </x:c>
      <x:c r="AK13" s="1" t="s">
        <x:v>113</x:v>
      </x:c>
      <x:c r="AL13" s="1" t="s">
        <x:v>159</x:v>
      </x:c>
      <x:c r="AM13" s="1" t="s">
        <x:v>129</x:v>
      </x:c>
      <x:c r="AN13" s="1" t="s">
        <x:v>125</x:v>
      </x:c>
      <x:c r="AO13" s="1" t="s">
        <x:v>123</x:v>
      </x:c>
      <x:c r="AP13" s="1" t="s">
        <x:v>114</x:v>
      </x:c>
      <x:c r="AQ13" s="1" t="s">
        <x:v>113</x:v>
      </x:c>
      <x:c r="AR13" s="1" t="s">
        <x:v>113</x:v>
      </x:c>
      <x:c r="AS13" s="1" t="s">
        <x:v>186</x:v>
      </x:c>
      <x:c r="AT13" s="1" t="s">
        <x:v>136</x:v>
      </x:c>
      <x:c r="AU13" s="1" t="s">
        <x:v>161</x:v>
      </x:c>
      <x:c r="AV13" s="1" t="s">
        <x:v>113</x:v>
      </x:c>
      <x:c r="AW13" s="1" t="s">
        <x:v>113</x:v>
      </x:c>
      <x:c r="AX13" s="1" t="s">
        <x:v>137</x:v>
      </x:c>
      <x:c r="AY13" s="1" t="s">
        <x:v>138</x:v>
      </x:c>
      <x:c r="AZ13" s="1" t="s">
        <x:v>143</x:v>
      </x:c>
      <x:c r="BA13" s="1" t="s">
        <x:v>157</x:v>
      </x:c>
      <x:c r="BB13" s="1" t="s">
        <x:v>146</x:v>
      </x:c>
      <x:c r="BC13" s="1" t="s">
        <x:v>118</x:v>
      </x:c>
      <x:c r="BD13" s="1" t="s">
        <x:v>63</x:v>
      </x:c>
      <x:c r="BE13" s="11" t="n">
        <x:f>ROUND((((B13*2+C13+D13+E13+F13*2+G13+H13+I13)/10)+((J13*2+K13+L13+M13+N13*2+O13+P13+Q13)/10)*2)/3,2)</x:f>
        <x:v>7.12</x:v>
      </x:c>
      <x:c r="BF13" s="11" t="n">
        <x:f>ROUND((((R13*2+S13+T13+U13+V13*2+W13+X13+Y13)/10)+((Z13*2+AA13+AB13+AC13+AD13*2+AE13+AF13+AG13)/10)*2)/3,2)</x:f>
        <x:v>7.35</x:v>
      </x:c>
      <x:c r="BG13" s="11" t="n">
        <x:f>ROUND((((AH13*2+AI13+AJ13+AK13+AL13*2+AM13+AN13+AO13)/10)+((AP13*2+AQ13+AR13+AS13+AT13*2+AU13+AV13+AW13)/10)*2)/3,2)</x:f>
        <x:v>7.1</x:v>
      </x:c>
      <x:c r="BH13" s="13" t="str">
        <x:f>IF(BE13&lt;5,"Y",IF(BE13&lt;6.5,"TB",IF(BE13&lt;8,"K",IF(BE13&lt;9,"G","XS"))))</x:f>
        <x:v>K</x:v>
      </x:c>
      <x:c r="BI13" s="13" t="str">
        <x:f>IF(BF13&lt;5,"Y",IF(BF13&lt;6.5,"TB",IF(BF13&lt;8,"K",IF(BF13&lt;9,"G","XS"))))</x:f>
        <x:v>K</x:v>
      </x:c>
      <x:c r="BJ13" s="13" t="str">
        <x:f>IF(BG13&lt;5,"Y",IF(BG13&lt;6.5,"TB",IF(BG13&lt;8,"K",IF(BG13&lt;9,"G","XS"))))</x:f>
        <x:v>K</x:v>
      </x:c>
      <x:c r="BK13" s="11" t="n">
        <x:f>ROUND((BE13/10)*4,2)</x:f>
        <x:v>2.85</x:v>
      </x:c>
      <x:c r="BL13" s="11" t="n">
        <x:f>ROUND((BF13/10)*4,2)</x:f>
        <x:v>2.94</x:v>
      </x:c>
      <x:c r="BM13" s="11" t="n">
        <x:f>ROUND((BG13/10)*4,2)</x:f>
        <x:v>2.84</x:v>
      </x:c>
      <x:c r="BN13" s="13" t="n">
        <x:f>IF(IF(OR(BD13="A",BD13="A1"),(BA13*2+BB13+BC13)/4,IF(BD13="B",(BA13+BB13*2+BC13)/4,(BA13+BB13+BC13)/3))&gt;=5,1,0)</x:f>
        <x:v>0</x:v>
      </x:c>
    </x:row>
    <x:row r="14">
      <x:c r="A14" s="1" t="s">
        <x:v>192</x:v>
      </x:c>
      <x:c r="B14" s="1" t="s">
        <x:v>117</x:v>
      </x:c>
      <x:c r="C14" s="1" t="s">
        <x:v>116</x:v>
      </x:c>
      <x:c r="D14" s="1" t="s">
        <x:v>183</x:v>
      </x:c>
      <x:c r="E14" s="1" t="s">
        <x:v>176</x:v>
      </x:c>
      <x:c r="F14" s="1" t="s">
        <x:v>132</x:v>
      </x:c>
      <x:c r="G14" s="1" t="s">
        <x:v>116</x:v>
      </x:c>
      <x:c r="H14" s="1" t="s">
        <x:v>131</x:v>
      </x:c>
      <x:c r="I14" s="1" t="s">
        <x:v>122</x:v>
      </x:c>
      <x:c r="J14" s="1" t="s">
        <x:v>185</x:v>
      </x:c>
      <x:c r="K14" s="1" t="s">
        <x:v>129</x:v>
      </x:c>
      <x:c r="L14" s="1" t="s">
        <x:v>186</x:v>
      </x:c>
      <x:c r="M14" s="1" t="s">
        <x:v>136</x:v>
      </x:c>
      <x:c r="N14" s="1" t="s">
        <x:v>127</x:v>
      </x:c>
      <x:c r="O14" s="1" t="s">
        <x:v>114</x:v>
      </x:c>
      <x:c r="P14" s="1" t="s">
        <x:v>113</x:v>
      </x:c>
      <x:c r="Q14" s="1" t="s">
        <x:v>122</x:v>
      </x:c>
      <x:c r="R14" s="1" t="s">
        <x:v>128</x:v>
      </x:c>
      <x:c r="S14" s="1" t="s">
        <x:v>119</x:v>
      </x:c>
      <x:c r="T14" s="1" t="s">
        <x:v>184</x:v>
      </x:c>
      <x:c r="U14" s="1" t="s">
        <x:v>136</x:v>
      </x:c>
      <x:c r="V14" s="1" t="s">
        <x:v>118</x:v>
      </x:c>
      <x:c r="W14" s="1" t="s">
        <x:v>177</x:v>
      </x:c>
      <x:c r="X14" s="1" t="s">
        <x:v>123</x:v>
      </x:c>
      <x:c r="Y14" s="1" t="s">
        <x:v>176</x:v>
      </x:c>
      <x:c r="Z14" s="1" t="s">
        <x:v>127</x:v>
      </x:c>
      <x:c r="AA14" s="1" t="s">
        <x:v>116</x:v>
      </x:c>
      <x:c r="AB14" s="1" t="s">
        <x:v>120</x:v>
      </x:c>
      <x:c r="AC14" s="1" t="s">
        <x:v>176</x:v>
      </x:c>
      <x:c r="AD14" s="1" t="s">
        <x:v>131</x:v>
      </x:c>
      <x:c r="AE14" s="1" t="s">
        <x:v>147</x:v>
      </x:c>
      <x:c r="AF14" s="1" t="s">
        <x:v>129</x:v>
      </x:c>
      <x:c r="AG14" s="1" t="s">
        <x:v>175</x:v>
      </x:c>
      <x:c r="AH14" s="1" t="s">
        <x:v>177</x:v>
      </x:c>
      <x:c r="AI14" s="1" t="s">
        <x:v>181</x:v>
      </x:c>
      <x:c r="AJ14" s="1" t="s">
        <x:v>176</x:v>
      </x:c>
      <x:c r="AK14" s="1" t="s">
        <x:v>114</x:v>
      </x:c>
      <x:c r="AL14" s="1" t="s">
        <x:v>166</x:v>
      </x:c>
      <x:c r="AM14" s="1" t="s">
        <x:v>145</x:v>
      </x:c>
      <x:c r="AN14" s="1" t="s">
        <x:v>133</x:v>
      </x:c>
      <x:c r="AO14" s="1" t="s">
        <x:v>176</x:v>
      </x:c>
      <x:c r="AP14" s="1" t="s">
        <x:v>128</x:v>
      </x:c>
      <x:c r="AQ14" s="1" t="s">
        <x:v>117</x:v>
      </x:c>
      <x:c r="AR14" s="1" t="s">
        <x:v>175</x:v>
      </x:c>
      <x:c r="AS14" s="1" t="s">
        <x:v>117</x:v>
      </x:c>
      <x:c r="AT14" s="1" t="s">
        <x:v>168</x:v>
      </x:c>
      <x:c r="AU14" s="1" t="s">
        <x:v>168</x:v>
      </x:c>
      <x:c r="AV14" s="1" t="s">
        <x:v>159</x:v>
      </x:c>
      <x:c r="AW14" s="1" t="s">
        <x:v>124</x:v>
      </x:c>
      <x:c r="AX14" s="1" t="s">
        <x:v>160</x:v>
      </x:c>
      <x:c r="AY14" s="1" t="s">
        <x:v>138</x:v>
      </x:c>
      <x:c r="AZ14" s="1" t="s">
        <x:v>143</x:v>
      </x:c>
      <x:c r="BA14" s="1" t="s">
        <x:v>171</x:v>
      </x:c>
      <x:c r="BB14" s="1" t="s">
        <x:v>135</x:v>
      </x:c>
      <x:c r="BC14" s="1" t="s">
        <x:v>172</x:v>
      </x:c>
      <x:c r="BD14" s="1" t="s">
        <x:v>63</x:v>
      </x:c>
      <x:c r="BE14" s="11" t="n">
        <x:f>ROUND((((B14*2+C14+D14+E14+F14*2+G14+H14+I14)/10)+((J14*2+K14+L14+M14+N14*2+O14+P14+Q14)/10)*2)/3,2)</x:f>
        <x:v>7.62</x:v>
      </x:c>
      <x:c r="BF14" s="11" t="n">
        <x:f>ROUND((((R14*2+S14+T14+U14+V14*2+W14+X14+Y14)/10)+((Z14*2+AA14+AB14+AC14+AD14*2+AE14+AF14+AG14)/10)*2)/3,2)</x:f>
        <x:v>7.18</x:v>
      </x:c>
      <x:c r="BG14" s="11" t="n">
        <x:f>ROUND((((AH14*2+AI14+AJ14+AK14+AL14*2+AM14+AN14+AO14)/10)+((AP14*2+AQ14+AR14+AS14+AT14*2+AU14+AV14+AW14)/10)*2)/3,2)</x:f>
        <x:v>7.34</x:v>
      </x:c>
      <x:c r="BH14" s="13" t="str">
        <x:f>IF(BE14&lt;5,"Y",IF(BE14&lt;6.5,"TB",IF(BE14&lt;8,"K",IF(BE14&lt;9,"G","XS"))))</x:f>
        <x:v>K</x:v>
      </x:c>
      <x:c r="BI14" s="13" t="str">
        <x:f>IF(BF14&lt;5,"Y",IF(BF14&lt;6.5,"TB",IF(BF14&lt;8,"K",IF(BF14&lt;9,"G","XS"))))</x:f>
        <x:v>K</x:v>
      </x:c>
      <x:c r="BJ14" s="13" t="str">
        <x:f>IF(BG14&lt;5,"Y",IF(BG14&lt;6.5,"TB",IF(BG14&lt;8,"K",IF(BG14&lt;9,"G","XS"))))</x:f>
        <x:v>K</x:v>
      </x:c>
      <x:c r="BK14" s="11" t="n">
        <x:f>ROUND((BE14/10)*4,2)</x:f>
        <x:v>3.05</x:v>
      </x:c>
      <x:c r="BL14" s="11" t="n">
        <x:f>ROUND((BF14/10)*4,2)</x:f>
        <x:v>2.87</x:v>
      </x:c>
      <x:c r="BM14" s="11" t="n">
        <x:f>ROUND((BG14/10)*4,2)</x:f>
        <x:v>2.94</x:v>
      </x:c>
      <x:c r="BN14" s="13" t="n">
        <x:f>IF(IF(OR(BD14="A",BD14="A1"),(BA14*2+BB14+BC14)/4,IF(BD14="B",(BA14+BB14*2+BC14)/4,(BA14+BB14+BC14)/3))&gt;=5,1,0)</x:f>
        <x:v>1</x:v>
      </x:c>
    </x:row>
    <x:row r="15">
      <x:c r="A15" s="1" t="s">
        <x:v>193</x:v>
      </x:c>
      <x:c r="B15" s="1" t="s">
        <x:v>114</x:v>
      </x:c>
      <x:c r="C15" s="1" t="s">
        <x:v>115</x:v>
      </x:c>
      <x:c r="D15" s="1" t="s">
        <x:v>124</x:v>
      </x:c>
      <x:c r="E15" s="1" t="s">
        <x:v>174</x:v>
      </x:c>
      <x:c r="F15" s="1" t="s">
        <x:v>123</x:v>
      </x:c>
      <x:c r="G15" s="1" t="s">
        <x:v>184</x:v>
      </x:c>
      <x:c r="H15" s="1" t="s">
        <x:v>127</x:v>
      </x:c>
      <x:c r="I15" s="1" t="s">
        <x:v>184</x:v>
      </x:c>
      <x:c r="J15" s="1" t="s">
        <x:v>121</x:v>
      </x:c>
      <x:c r="K15" s="1" t="s">
        <x:v>133</x:v>
      </x:c>
      <x:c r="L15" s="1" t="s">
        <x:v>115</x:v>
      </x:c>
      <x:c r="M15" s="1" t="s">
        <x:v>114</x:v>
      </x:c>
      <x:c r="N15" s="1" t="s">
        <x:v>114</x:v>
      </x:c>
      <x:c r="O15" s="1" t="s">
        <x:v>129</x:v>
      </x:c>
      <x:c r="P15" s="1" t="s">
        <x:v>117</x:v>
      </x:c>
      <x:c r="Q15" s="1" t="s">
        <x:v>174</x:v>
      </x:c>
      <x:c r="R15" s="1" t="s">
        <x:v>184</x:v>
      </x:c>
      <x:c r="S15" s="1" t="s">
        <x:v>129</x:v>
      </x:c>
      <x:c r="T15" s="1" t="s">
        <x:v>181</x:v>
      </x:c>
      <x:c r="U15" s="1" t="s">
        <x:v>135</x:v>
      </x:c>
      <x:c r="V15" s="1" t="s">
        <x:v>129</x:v>
      </x:c>
      <x:c r="W15" s="1" t="s">
        <x:v>119</x:v>
      </x:c>
      <x:c r="X15" s="1" t="s">
        <x:v>184</x:v>
      </x:c>
      <x:c r="Y15" s="1" t="s">
        <x:v>183</x:v>
      </x:c>
      <x:c r="Z15" s="1" t="s">
        <x:v>136</x:v>
      </x:c>
      <x:c r="AA15" s="1" t="s">
        <x:v>159</x:v>
      </x:c>
      <x:c r="AB15" s="1" t="s">
        <x:v>159</x:v>
      </x:c>
      <x:c r="AC15" s="1" t="s">
        <x:v>181</x:v>
      </x:c>
      <x:c r="AD15" s="1" t="s">
        <x:v>165</x:v>
      </x:c>
      <x:c r="AE15" s="1" t="s">
        <x:v>129</x:v>
      </x:c>
      <x:c r="AF15" s="1" t="s">
        <x:v>181</x:v>
      </x:c>
      <x:c r="AG15" s="1" t="s">
        <x:v>120</x:v>
      </x:c>
      <x:c r="AH15" s="1" t="s">
        <x:v>179</x:v>
      </x:c>
      <x:c r="AI15" s="1" t="s">
        <x:v>113</x:v>
      </x:c>
      <x:c r="AJ15" s="1" t="s">
        <x:v>176</x:v>
      </x:c>
      <x:c r="AK15" s="1" t="s">
        <x:v>129</x:v>
      </x:c>
      <x:c r="AL15" s="1" t="s">
        <x:v>165</x:v>
      </x:c>
      <x:c r="AM15" s="1" t="s">
        <x:v>127</x:v>
      </x:c>
      <x:c r="AN15" s="1" t="s">
        <x:v>165</x:v>
      </x:c>
      <x:c r="AO15" s="1" t="s">
        <x:v>122</x:v>
      </x:c>
      <x:c r="AP15" s="1" t="s">
        <x:v>175</x:v>
      </x:c>
      <x:c r="AQ15" s="1" t="s">
        <x:v>116</x:v>
      </x:c>
      <x:c r="AR15" s="1" t="s">
        <x:v>129</x:v>
      </x:c>
      <x:c r="AS15" s="1" t="s">
        <x:v>113</x:v>
      </x:c>
      <x:c r="AT15" s="1" t="s">
        <x:v>117</x:v>
      </x:c>
      <x:c r="AU15" s="1" t="s">
        <x:v>164</x:v>
      </x:c>
      <x:c r="AV15" s="1" t="s">
        <x:v>131</x:v>
      </x:c>
      <x:c r="AW15" s="1" t="s">
        <x:v>184</x:v>
      </x:c>
      <x:c r="AX15" s="1" t="s">
        <x:v>137</x:v>
      </x:c>
      <x:c r="AY15" s="1" t="s">
        <x:v>138</x:v>
      </x:c>
      <x:c r="AZ15" s="1" t="s">
        <x:v>112</x:v>
      </x:c>
      <x:c r="BA15" s="1" t="s">
        <x:v>143</x:v>
      </x:c>
      <x:c r="BB15" s="1" t="s">
        <x:v>141</x:v>
      </x:c>
      <x:c r="BC15" s="1" t="s">
        <x:v>134</x:v>
      </x:c>
      <x:c r="BD15" s="1" t="s">
        <x:v>63</x:v>
      </x:c>
      <x:c r="BE15" s="11" t="n">
        <x:f>ROUND((((B15*2+C15+D15+E15+F15*2+G15+H15+I15)/10)+((J15*2+K15+L15+M15+N15*2+O15+P15+Q15)/10)*2)/3,2)</x:f>
        <x:v>7.03</x:v>
      </x:c>
      <x:c r="BF15" s="11" t="n">
        <x:f>ROUND((((R15*2+S15+T15+U15+V15*2+W15+X15+Y15)/10)+((Z15*2+AA15+AB15+AC15+AD15*2+AE15+AF15+AG15)/10)*2)/3,2)</x:f>
        <x:v>7.63</x:v>
      </x:c>
      <x:c r="BG15" s="11" t="n">
        <x:f>ROUND((((AH15*2+AI15+AJ15+AK15+AL15*2+AM15+AN15+AO15)/10)+((AP15*2+AQ15+AR15+AS15+AT15*2+AU15+AV15+AW15)/10)*2)/3,2)</x:f>
        <x:v>7.64</x:v>
      </x:c>
      <x:c r="BH15" s="13" t="str">
        <x:f>IF(BE15&lt;5,"Y",IF(BE15&lt;6.5,"TB",IF(BE15&lt;8,"K",IF(BE15&lt;9,"G","XS"))))</x:f>
        <x:v>K</x:v>
      </x:c>
      <x:c r="BI15" s="13" t="str">
        <x:f>IF(BF15&lt;5,"Y",IF(BF15&lt;6.5,"TB",IF(BF15&lt;8,"K",IF(BF15&lt;9,"G","XS"))))</x:f>
        <x:v>K</x:v>
      </x:c>
      <x:c r="BJ15" s="13" t="str">
        <x:f>IF(BG15&lt;5,"Y",IF(BG15&lt;6.5,"TB",IF(BG15&lt;8,"K",IF(BG15&lt;9,"G","XS"))))</x:f>
        <x:v>K</x:v>
      </x:c>
      <x:c r="BK15" s="11" t="n">
        <x:f>ROUND((BE15/10)*4,2)</x:f>
        <x:v>2.81</x:v>
      </x:c>
      <x:c r="BL15" s="11" t="n">
        <x:f>ROUND((BF15/10)*4,2)</x:f>
        <x:v>3.05</x:v>
      </x:c>
      <x:c r="BM15" s="11" t="n">
        <x:f>ROUND((BG15/10)*4,2)</x:f>
        <x:v>3.06</x:v>
      </x:c>
      <x:c r="BN15" s="13" t="n">
        <x:f>IF(IF(OR(BD15="A",BD15="A1"),(BA15*2+BB15+BC15)/4,IF(BD15="B",(BA15+BB15*2+BC15)/4,(BA15+BB15+BC15)/3))&gt;=5,1,0)</x:f>
        <x:v>0</x:v>
      </x:c>
    </x:row>
    <x:row r="16">
      <x:c r="A16" s="1" t="s">
        <x:v>194</x:v>
      </x:c>
      <x:c r="B16" s="1" t="s">
        <x:v>155</x:v>
      </x:c>
      <x:c r="C16" s="1" t="s">
        <x:v>144</x:v>
      </x:c>
      <x:c r="D16" s="1" t="s">
        <x:v>134</x:v>
      </x:c>
      <x:c r="E16" s="1" t="s">
        <x:v>134</x:v>
      </x:c>
      <x:c r="F16" s="1" t="s">
        <x:v>121</x:v>
      </x:c>
      <x:c r="G16" s="1" t="s">
        <x:v>116</x:v>
      </x:c>
      <x:c r="H16" s="1" t="s">
        <x:v>195</x:v>
      </x:c>
      <x:c r="I16" s="1" t="s">
        <x:v>121</x:v>
      </x:c>
      <x:c r="J16" s="1" t="s">
        <x:v>141</x:v>
      </x:c>
      <x:c r="K16" s="1" t="s">
        <x:v>141</x:v>
      </x:c>
      <x:c r="L16" s="1" t="s">
        <x:v>158</x:v>
      </x:c>
      <x:c r="M16" s="1" t="s">
        <x:v>131</x:v>
      </x:c>
      <x:c r="N16" s="1" t="s">
        <x:v>130</x:v>
      </x:c>
      <x:c r="O16" s="1" t="s">
        <x:v>129</x:v>
      </x:c>
      <x:c r="P16" s="1" t="s">
        <x:v>161</x:v>
      </x:c>
      <x:c r="Q16" s="1" t="s">
        <x:v>135</x:v>
      </x:c>
      <x:c r="R16" s="1" t="s">
        <x:v>141</x:v>
      </x:c>
      <x:c r="S16" s="1" t="s">
        <x:v>132</x:v>
      </x:c>
      <x:c r="T16" s="1" t="s">
        <x:v>195</x:v>
      </x:c>
      <x:c r="U16" s="1" t="s">
        <x:v>161</x:v>
      </x:c>
      <x:c r="V16" s="1" t="s">
        <x:v>159</x:v>
      </x:c>
      <x:c r="W16" s="1" t="s">
        <x:v>130</x:v>
      </x:c>
      <x:c r="X16" s="1" t="s">
        <x:v>116</x:v>
      </x:c>
      <x:c r="Y16" s="1" t="s">
        <x:v>147</x:v>
      </x:c>
      <x:c r="Z16" s="1" t="s">
        <x:v>158</x:v>
      </x:c>
      <x:c r="AA16" s="1" t="s">
        <x:v>144</x:v>
      </x:c>
      <x:c r="AB16" s="1" t="s">
        <x:v>151</x:v>
      </x:c>
      <x:c r="AC16" s="1" t="s">
        <x:v>114</x:v>
      </x:c>
      <x:c r="AD16" s="1" t="s">
        <x:v>181</x:v>
      </x:c>
      <x:c r="AE16" s="1" t="s">
        <x:v>130</x:v>
      </x:c>
      <x:c r="AF16" s="1" t="s">
        <x:v>165</x:v>
      </x:c>
      <x:c r="AG16" s="1" t="s">
        <x:v>166</x:v>
      </x:c>
      <x:c r="AH16" s="1" t="s">
        <x:v>135</x:v>
      </x:c>
      <x:c r="AI16" s="1" t="s">
        <x:v>121</x:v>
      </x:c>
      <x:c r="AJ16" s="1" t="s">
        <x:v>132</x:v>
      </x:c>
      <x:c r="AK16" s="1" t="s">
        <x:v>168</x:v>
      </x:c>
      <x:c r="AL16" s="1" t="s">
        <x:v>127</x:v>
      </x:c>
      <x:c r="AM16" s="1" t="s">
        <x:v>164</x:v>
      </x:c>
      <x:c r="AN16" s="1" t="s">
        <x:v>166</x:v>
      </x:c>
      <x:c r="AO16" s="1" t="s">
        <x:v>121</x:v>
      </x:c>
      <x:c r="AP16" s="1" t="s">
        <x:v>127</x:v>
      </x:c>
      <x:c r="AQ16" s="1" t="s">
        <x:v>130</x:v>
      </x:c>
      <x:c r="AR16" s="1" t="s">
        <x:v>133</x:v>
      </x:c>
      <x:c r="AS16" s="1" t="s">
        <x:v>121</x:v>
      </x:c>
      <x:c r="AT16" s="1" t="s">
        <x:v>168</x:v>
      </x:c>
      <x:c r="AU16" s="1" t="s">
        <x:v>114</x:v>
      </x:c>
      <x:c r="AV16" s="1" t="s">
        <x:v>131</x:v>
      </x:c>
      <x:c r="AW16" s="1" t="s">
        <x:v>133</x:v>
      </x:c>
      <x:c r="AX16" s="1" t="s">
        <x:v>137</x:v>
      </x:c>
      <x:c r="AY16" s="1" t="s">
        <x:v>138</x:v>
      </x:c>
      <x:c r="AZ16" s="1" t="s">
        <x:v>112</x:v>
      </x:c>
      <x:c r="BA16" s="1" t="s">
        <x:v>167</x:v>
      </x:c>
      <x:c r="BB16" s="1" t="s">
        <x:v>196</x:v>
      </x:c>
      <x:c r="BC16" s="1" t="s">
        <x:v>118</x:v>
      </x:c>
      <x:c r="BD16" s="1" t="s">
        <x:v>63</x:v>
      </x:c>
      <x:c r="BE16" s="11" t="n">
        <x:f>ROUND((((B16*2+C16+D16+E16+F16*2+G16+H16+I16)/10)+((J16*2+K16+L16+M16+N16*2+O16+P16+Q16)/10)*2)/3,2)</x:f>
        <x:v>5.47</x:v>
      </x:c>
      <x:c r="BF16" s="11" t="n">
        <x:f>ROUND((((R16*2+S16+T16+U16+V16*2+W16+X16+Y16)/10)+((Z16*2+AA16+AB16+AC16+AD16*2+AE16+AF16+AG16)/10)*2)/3,2)</x:f>
        <x:v>5.99</x:v>
      </x:c>
      <x:c r="BG16" s="11" t="n">
        <x:f>ROUND((((AH16*2+AI16+AJ16+AK16+AL16*2+AM16+AN16+AO16)/10)+((AP16*2+AQ16+AR16+AS16+AT16*2+AU16+AV16+AW16)/10)*2)/3,2)</x:f>
        <x:v>6.3</x:v>
      </x:c>
      <x:c r="BH16" s="13" t="str">
        <x:f>IF(BE16&lt;5,"Y",IF(BE16&lt;6.5,"TB",IF(BE16&lt;8,"K",IF(BE16&lt;9,"G","XS"))))</x:f>
        <x:v>TB</x:v>
      </x:c>
      <x:c r="BI16" s="13" t="str">
        <x:f>IF(BF16&lt;5,"Y",IF(BF16&lt;6.5,"TB",IF(BF16&lt;8,"K",IF(BF16&lt;9,"G","XS"))))</x:f>
        <x:v>TB</x:v>
      </x:c>
      <x:c r="BJ16" s="13" t="str">
        <x:f>IF(BG16&lt;5,"Y",IF(BG16&lt;6.5,"TB",IF(BG16&lt;8,"K",IF(BG16&lt;9,"G","XS"))))</x:f>
        <x:v>TB</x:v>
      </x:c>
      <x:c r="BK16" s="11" t="n">
        <x:f>ROUND((BE16/10)*4,2)</x:f>
        <x:v>2.19</x:v>
      </x:c>
      <x:c r="BL16" s="11" t="n">
        <x:f>ROUND((BF16/10)*4,2)</x:f>
        <x:v>2.4</x:v>
      </x:c>
      <x:c r="BM16" s="11" t="n">
        <x:f>ROUND((BG16/10)*4,2)</x:f>
        <x:v>2.52</x:v>
      </x:c>
      <x:c r="BN16" s="13" t="n">
        <x:f>IF(IF(OR(BD16="A",BD16="A1"),(BA16*2+BB16+BC16)/4,IF(BD16="B",(BA16+BB16*2+BC16)/4,(BA16+BB16+BC16)/3))&gt;=5,1,0)</x:f>
        <x:v>0</x:v>
      </x:c>
    </x:row>
    <x:row r="17">
      <x:c r="A17" s="1" t="s">
        <x:v>197</x:v>
      </x:c>
      <x:c r="B17" s="1" t="s">
        <x:v>129</x:v>
      </x:c>
      <x:c r="C17" s="1" t="s">
        <x:v>177</x:v>
      </x:c>
      <x:c r="D17" s="1" t="s">
        <x:v>183</x:v>
      </x:c>
      <x:c r="E17" s="1" t="s">
        <x:v>165</x:v>
      </x:c>
      <x:c r="F17" s="1" t="s">
        <x:v>132</x:v>
      </x:c>
      <x:c r="G17" s="1" t="s">
        <x:v>174</x:v>
      </x:c>
      <x:c r="H17" s="1" t="s">
        <x:v>117</x:v>
      </x:c>
      <x:c r="I17" s="1" t="s">
        <x:v>136</x:v>
      </x:c>
      <x:c r="J17" s="1" t="s">
        <x:v>175</x:v>
      </x:c>
      <x:c r="K17" s="1" t="s">
        <x:v>114</x:v>
      </x:c>
      <x:c r="L17" s="1" t="s">
        <x:v>128</x:v>
      </x:c>
      <x:c r="M17" s="1" t="s">
        <x:v>174</x:v>
      </x:c>
      <x:c r="N17" s="1" t="s">
        <x:v>164</x:v>
      </x:c>
      <x:c r="O17" s="1" t="s">
        <x:v>119</x:v>
      </x:c>
      <x:c r="P17" s="1" t="s">
        <x:v>125</x:v>
      </x:c>
      <x:c r="Q17" s="1" t="s">
        <x:v>123</x:v>
      </x:c>
      <x:c r="R17" s="1" t="s">
        <x:v>176</x:v>
      </x:c>
      <x:c r="S17" s="1" t="s">
        <x:v>117</x:v>
      </x:c>
      <x:c r="T17" s="1" t="s">
        <x:v>184</x:v>
      </x:c>
      <x:c r="U17" s="1" t="s">
        <x:v>116</x:v>
      </x:c>
      <x:c r="V17" s="1" t="s">
        <x:v>126</x:v>
      </x:c>
      <x:c r="W17" s="1" t="s">
        <x:v>176</x:v>
      </x:c>
      <x:c r="X17" s="1" t="s">
        <x:v>177</x:v>
      </x:c>
      <x:c r="Y17" s="1" t="s">
        <x:v>114</x:v>
      </x:c>
      <x:c r="Z17" s="1" t="s">
        <x:v>175</x:v>
      </x:c>
      <x:c r="AA17" s="1" t="s">
        <x:v>181</x:v>
      </x:c>
      <x:c r="AB17" s="1" t="s">
        <x:v>185</x:v>
      </x:c>
      <x:c r="AC17" s="1" t="s">
        <x:v>177</x:v>
      </x:c>
      <x:c r="AD17" s="1" t="s">
        <x:v>123</x:v>
      </x:c>
      <x:c r="AE17" s="1" t="s">
        <x:v>120</x:v>
      </x:c>
      <x:c r="AF17" s="1" t="s">
        <x:v>176</x:v>
      </x:c>
      <x:c r="AG17" s="1" t="s">
        <x:v>136</x:v>
      </x:c>
      <x:c r="AH17" s="1" t="s">
        <x:v>176</x:v>
      </x:c>
      <x:c r="AI17" s="1" t="s">
        <x:v>164</x:v>
      </x:c>
      <x:c r="AJ17" s="1" t="s">
        <x:v>119</x:v>
      </x:c>
      <x:c r="AK17" s="1" t="s">
        <x:v>181</x:v>
      </x:c>
      <x:c r="AL17" s="1" t="s">
        <x:v>127</x:v>
      </x:c>
      <x:c r="AM17" s="1" t="s">
        <x:v>128</x:v>
      </x:c>
      <x:c r="AN17" s="1" t="s">
        <x:v>114</x:v>
      </x:c>
      <x:c r="AO17" s="1" t="s">
        <x:v>181</x:v>
      </x:c>
      <x:c r="AP17" s="1" t="s">
        <x:v>184</x:v>
      </x:c>
      <x:c r="AQ17" s="1" t="s">
        <x:v>185</x:v>
      </x:c>
      <x:c r="AR17" s="1" t="s">
        <x:v>176</x:v>
      </x:c>
      <x:c r="AS17" s="1" t="s">
        <x:v>179</x:v>
      </x:c>
      <x:c r="AT17" s="1" t="s">
        <x:v>127</x:v>
      </x:c>
      <x:c r="AU17" s="1" t="s">
        <x:v>177</x:v>
      </x:c>
      <x:c r="AV17" s="1" t="s">
        <x:v>136</x:v>
      </x:c>
      <x:c r="AW17" s="1" t="s">
        <x:v>116</x:v>
      </x:c>
      <x:c r="AX17" s="1" t="s">
        <x:v>137</x:v>
      </x:c>
      <x:c r="AY17" s="1" t="s">
        <x:v>138</x:v>
      </x:c>
      <x:c r="AZ17" s="1" t="s">
        <x:v>139</x:v>
      </x:c>
      <x:c r="BA17" s="1" t="s">
        <x:v>162</x:v>
      </x:c>
      <x:c r="BB17" s="1" t="s">
        <x:v>141</x:v>
      </x:c>
      <x:c r="BC17" s="1" t="s">
        <x:v>135</x:v>
      </x:c>
      <x:c r="BD17" s="1" t="s">
        <x:v>178</x:v>
      </x:c>
      <x:c r="BE17" s="11" t="n">
        <x:f>ROUND((((B17*2+C17+D17+E17+F17*2+G17+H17+I17)/10)+((J17*2+K17+L17+M17+N17*2+O17+P17+Q17)/10)*2)/3,2)</x:f>
        <x:v>7.52</x:v>
      </x:c>
      <x:c r="BF17" s="11" t="n">
        <x:f>ROUND((((R17*2+S17+T17+U17+V17*2+W17+X17+Y17)/10)+((Z17*2+AA17+AB17+AC17+AD17*2+AE17+AF17+AG17)/10)*2)/3,2)</x:f>
        <x:v>7.76</x:v>
      </x:c>
      <x:c r="BG17" s="11" t="n">
        <x:f>ROUND((((AH17*2+AI17+AJ17+AK17+AL17*2+AM17+AN17+AO17)/10)+((AP17*2+AQ17+AR17+AS17+AT17*2+AU17+AV17+AW17)/10)*2)/3,2)</x:f>
        <x:v>7.87</x:v>
      </x:c>
      <x:c r="BH17" s="13" t="str">
        <x:f>IF(BE17&lt;5,"Y",IF(BE17&lt;6.5,"TB",IF(BE17&lt;8,"K",IF(BE17&lt;9,"G","XS"))))</x:f>
        <x:v>K</x:v>
      </x:c>
      <x:c r="BI17" s="13" t="str">
        <x:f>IF(BF17&lt;5,"Y",IF(BF17&lt;6.5,"TB",IF(BF17&lt;8,"K",IF(BF17&lt;9,"G","XS"))))</x:f>
        <x:v>K</x:v>
      </x:c>
      <x:c r="BJ17" s="13" t="str">
        <x:f>IF(BG17&lt;5,"Y",IF(BG17&lt;6.5,"TB",IF(BG17&lt;8,"K",IF(BG17&lt;9,"G","XS"))))</x:f>
        <x:v>K</x:v>
      </x:c>
      <x:c r="BK17" s="11" t="n">
        <x:f>ROUND((BE17/10)*4,2)</x:f>
        <x:v>3.01</x:v>
      </x:c>
      <x:c r="BL17" s="11" t="n">
        <x:f>ROUND((BF17/10)*4,2)</x:f>
        <x:v>3.1</x:v>
      </x:c>
      <x:c r="BM17" s="11" t="n">
        <x:f>ROUND((BG17/10)*4,2)</x:f>
        <x:v>3.15</x:v>
      </x:c>
      <x:c r="BN17" s="13" t="n">
        <x:f>IF(IF(OR(BD17="A",BD17="A1"),(BA17*2+BB17+BC17)/4,IF(BD17="B",(BA17+BB17*2+BC17)/4,(BA17+BB17+BC17)/3))&gt;=5,1,0)</x:f>
        <x:v>0</x:v>
      </x:c>
    </x:row>
    <x:row r="18">
      <x:c r="A18" s="1" t="s">
        <x:v>198</x:v>
      </x:c>
      <x:c r="B18" s="1" t="s">
        <x:v>167</x:v>
      </x:c>
      <x:c r="C18" s="1" t="s">
        <x:v>147</x:v>
      </x:c>
      <x:c r="D18" s="1" t="s">
        <x:v>155</x:v>
      </x:c>
      <x:c r="E18" s="1" t="s">
        <x:v>185</x:v>
      </x:c>
      <x:c r="F18" s="1" t="s">
        <x:v>127</x:v>
      </x:c>
      <x:c r="G18" s="1" t="s">
        <x:v>161</x:v>
      </x:c>
      <x:c r="H18" s="1" t="s">
        <x:v>159</x:v>
      </x:c>
      <x:c r="I18" s="1" t="s">
        <x:v>134</x:v>
      </x:c>
      <x:c r="J18" s="1" t="s">
        <x:v>166</x:v>
      </x:c>
      <x:c r="K18" s="1" t="s">
        <x:v>152</x:v>
      </x:c>
      <x:c r="L18" s="1" t="s">
        <x:v>150</x:v>
      </x:c>
      <x:c r="M18" s="1" t="s">
        <x:v>176</x:v>
      </x:c>
      <x:c r="N18" s="1" t="s">
        <x:v>165</x:v>
      </x:c>
      <x:c r="O18" s="1" t="s">
        <x:v>115</x:v>
      </x:c>
      <x:c r="P18" s="1" t="s">
        <x:v>177</x:v>
      </x:c>
      <x:c r="Q18" s="1" t="s">
        <x:v>131</x:v>
      </x:c>
      <x:c r="R18" s="1" t="s">
        <x:v>135</x:v>
      </x:c>
      <x:c r="S18" s="1" t="s">
        <x:v>130</x:v>
      </x:c>
      <x:c r="T18" s="1" t="s">
        <x:v>133</x:v>
      </x:c>
      <x:c r="U18" s="1" t="s">
        <x:v>168</x:v>
      </x:c>
      <x:c r="V18" s="1" t="s">
        <x:v>113</x:v>
      </x:c>
      <x:c r="W18" s="1" t="s">
        <x:v>132</x:v>
      </x:c>
      <x:c r="X18" s="1" t="s">
        <x:v>136</x:v>
      </x:c>
      <x:c r="Y18" s="1" t="s">
        <x:v>170</x:v>
      </x:c>
      <x:c r="Z18" s="1" t="s">
        <x:v>114</x:v>
      </x:c>
      <x:c r="AA18" s="1" t="s">
        <x:v>118</x:v>
      </x:c>
      <x:c r="AB18" s="1" t="s">
        <x:v>144</x:v>
      </x:c>
      <x:c r="AC18" s="1" t="s">
        <x:v>126</x:v>
      </x:c>
      <x:c r="AD18" s="1" t="s">
        <x:v>116</x:v>
      </x:c>
      <x:c r="AE18" s="1" t="s">
        <x:v>174</x:v>
      </x:c>
      <x:c r="AF18" s="1" t="s">
        <x:v>128</x:v>
      </x:c>
      <x:c r="AG18" s="1" t="s">
        <x:v>127</x:v>
      </x:c>
      <x:c r="AH18" s="1" t="s">
        <x:v>199</x:v>
      </x:c>
      <x:c r="AI18" s="1" t="s">
        <x:v>147</x:v>
      </x:c>
      <x:c r="AJ18" s="1" t="s">
        <x:v>158</x:v>
      </x:c>
      <x:c r="AK18" s="1" t="s">
        <x:v>134</x:v>
      </x:c>
      <x:c r="AL18" s="1" t="s">
        <x:v>125</x:v>
      </x:c>
      <x:c r="AM18" s="1" t="s">
        <x:v>131</x:v>
      </x:c>
      <x:c r="AN18" s="1" t="s">
        <x:v>164</x:v>
      </x:c>
      <x:c r="AO18" s="1" t="s">
        <x:v>134</x:v>
      </x:c>
      <x:c r="AP18" s="1" t="s">
        <x:v>147</x:v>
      </x:c>
      <x:c r="AQ18" s="1" t="s">
        <x:v>161</x:v>
      </x:c>
      <x:c r="AR18" s="1" t="s">
        <x:v>161</x:v>
      </x:c>
      <x:c r="AS18" s="1" t="s">
        <x:v>166</x:v>
      </x:c>
      <x:c r="AT18" s="1" t="s">
        <x:v>113</x:v>
      </x:c>
      <x:c r="AU18" s="1" t="s">
        <x:v>129</x:v>
      </x:c>
      <x:c r="AV18" s="1" t="s">
        <x:v>164</x:v>
      </x:c>
      <x:c r="AW18" s="1" t="s">
        <x:v>134</x:v>
      </x:c>
      <x:c r="AX18" s="1" t="s">
        <x:v>160</x:v>
      </x:c>
      <x:c r="AY18" s="1" t="s">
        <x:v>138</x:v>
      </x:c>
      <x:c r="AZ18" s="1" t="s">
        <x:v>112</x:v>
      </x:c>
      <x:c r="BA18" s="1" t="s">
        <x:v>188</x:v>
      </x:c>
      <x:c r="BB18" s="1" t="s">
        <x:v>157</x:v>
      </x:c>
      <x:c r="BC18" s="1" t="s">
        <x:v>135</x:v>
      </x:c>
      <x:c r="BD18" s="1" t="s">
        <x:v>63</x:v>
      </x:c>
      <x:c r="BE18" s="11" t="n">
        <x:f>ROUND((((B18*2+C18+D18+E18+F18*2+G18+H18+I18)/10)+((J18*2+K18+L18+M18+N18*2+O18+P18+Q18)/10)*2)/3,2)</x:f>
        <x:v>6.12</x:v>
      </x:c>
      <x:c r="BF18" s="11" t="n">
        <x:f>ROUND((((R18*2+S18+T18+U18+V18*2+W18+X18+Y18)/10)+((Z18*2+AA18+AB18+AC18+AD18*2+AE18+AF18+AG18)/10)*2)/3,2)</x:f>
        <x:v>6.62</x:v>
      </x:c>
      <x:c r="BG18" s="11" t="n">
        <x:f>ROUND((((AH18*2+AI18+AJ18+AK18+AL18*2+AM18+AN18+AO18)/10)+((AP18*2+AQ18+AR18+AS18+AT18*2+AU18+AV18+AW18)/10)*2)/3,2)</x:f>
        <x:v>5.94</x:v>
      </x:c>
      <x:c r="BH18" s="13" t="str">
        <x:f>IF(BE18&lt;5,"Y",IF(BE18&lt;6.5,"TB",IF(BE18&lt;8,"K",IF(BE18&lt;9,"G","XS"))))</x:f>
        <x:v>TB</x:v>
      </x:c>
      <x:c r="BI18" s="13" t="str">
        <x:f>IF(BF18&lt;5,"Y",IF(BF18&lt;6.5,"TB",IF(BF18&lt;8,"K",IF(BF18&lt;9,"G","XS"))))</x:f>
        <x:v>K</x:v>
      </x:c>
      <x:c r="BJ18" s="13" t="str">
        <x:f>IF(BG18&lt;5,"Y",IF(BG18&lt;6.5,"TB",IF(BG18&lt;8,"K",IF(BG18&lt;9,"G","XS"))))</x:f>
        <x:v>TB</x:v>
      </x:c>
      <x:c r="BK18" s="11" t="n">
        <x:f>ROUND((BE18/10)*4,2)</x:f>
        <x:v>2.45</x:v>
      </x:c>
      <x:c r="BL18" s="11" t="n">
        <x:f>ROUND((BF18/10)*4,2)</x:f>
        <x:v>2.65</x:v>
      </x:c>
      <x:c r="BM18" s="11" t="n">
        <x:f>ROUND((BG18/10)*4,2)</x:f>
        <x:v>2.38</x:v>
      </x:c>
      <x:c r="BN18" s="13" t="n">
        <x:f>IF(IF(OR(BD18="A",BD18="A1"),(BA18*2+BB18+BC18)/4,IF(BD18="B",(BA18+BB18*2+BC18)/4,(BA18+BB18+BC18)/3))&gt;=5,1,0)</x:f>
        <x:v>0</x:v>
      </x:c>
    </x:row>
    <x:row r="19">
      <x:c r="A19" s="1" t="s">
        <x:v>200</x:v>
      </x:c>
      <x:c r="B19" s="1" t="s">
        <x:v>186</x:v>
      </x:c>
      <x:c r="C19" s="1" t="s">
        <x:v>116</x:v>
      </x:c>
      <x:c r="D19" s="1" t="s">
        <x:v>174</x:v>
      </x:c>
      <x:c r="E19" s="1" t="s">
        <x:v>129</x:v>
      </x:c>
      <x:c r="F19" s="1" t="s">
        <x:v>132</x:v>
      </x:c>
      <x:c r="G19" s="1" t="s">
        <x:v>144</x:v>
      </x:c>
      <x:c r="H19" s="1" t="s">
        <x:v>175</x:v>
      </x:c>
      <x:c r="I19" s="1" t="s">
        <x:v>147</x:v>
      </x:c>
      <x:c r="J19" s="1" t="s">
        <x:v>114</x:v>
      </x:c>
      <x:c r="K19" s="1" t="s">
        <x:v>125</x:v>
      </x:c>
      <x:c r="L19" s="1" t="s">
        <x:v>125</x:v>
      </x:c>
      <x:c r="M19" s="1" t="s">
        <x:v>130</x:v>
      </x:c>
      <x:c r="N19" s="1" t="s">
        <x:v>132</x:v>
      </x:c>
      <x:c r="O19" s="1" t="s">
        <x:v>117</x:v>
      </x:c>
      <x:c r="P19" s="1" t="s">
        <x:v>165</x:v>
      </x:c>
      <x:c r="Q19" s="1" t="s">
        <x:v>161</x:v>
      </x:c>
      <x:c r="R19" s="1" t="s">
        <x:v>165</x:v>
      </x:c>
      <x:c r="S19" s="1" t="s">
        <x:v>116</x:v>
      </x:c>
      <x:c r="T19" s="1" t="s">
        <x:v>176</x:v>
      </x:c>
      <x:c r="U19" s="1" t="s">
        <x:v>159</x:v>
      </x:c>
      <x:c r="V19" s="1" t="s">
        <x:v>161</x:v>
      </x:c>
      <x:c r="W19" s="1" t="s">
        <x:v>127</x:v>
      </x:c>
      <x:c r="X19" s="1" t="s">
        <x:v>165</x:v>
      </x:c>
      <x:c r="Y19" s="1" t="s">
        <x:v>166</x:v>
      </x:c>
      <x:c r="Z19" s="1" t="s">
        <x:v>174</x:v>
      </x:c>
      <x:c r="AA19" s="1" t="s">
        <x:v>114</x:v>
      </x:c>
      <x:c r="AB19" s="1" t="s">
        <x:v>176</x:v>
      </x:c>
      <x:c r="AC19" s="1" t="s">
        <x:v>121</x:v>
      </x:c>
      <x:c r="AD19" s="1" t="s">
        <x:v>168</x:v>
      </x:c>
      <x:c r="AE19" s="1" t="s">
        <x:v>132</x:v>
      </x:c>
      <x:c r="AF19" s="1" t="s">
        <x:v>136</x:v>
      </x:c>
      <x:c r="AG19" s="1" t="s">
        <x:v>118</x:v>
      </x:c>
      <x:c r="AH19" s="1" t="s">
        <x:v>125</x:v>
      </x:c>
      <x:c r="AI19" s="1" t="s">
        <x:v>144</x:v>
      </x:c>
      <x:c r="AJ19" s="1" t="s">
        <x:v>136</x:v>
      </x:c>
      <x:c r="AK19" s="1" t="s">
        <x:v>126</x:v>
      </x:c>
      <x:c r="AL19" s="1" t="s">
        <x:v>159</x:v>
      </x:c>
      <x:c r="AM19" s="1" t="s">
        <x:v>125</x:v>
      </x:c>
      <x:c r="AN19" s="1" t="s">
        <x:v>119</x:v>
      </x:c>
      <x:c r="AO19" s="1" t="s">
        <x:v>131</x:v>
      </x:c>
      <x:c r="AP19" s="1" t="s">
        <x:v>165</x:v>
      </x:c>
      <x:c r="AQ19" s="1" t="s">
        <x:v>159</x:v>
      </x:c>
      <x:c r="AR19" s="1" t="s">
        <x:v>161</x:v>
      </x:c>
      <x:c r="AS19" s="1" t="s">
        <x:v>159</x:v>
      </x:c>
      <x:c r="AT19" s="1" t="s">
        <x:v>129</x:v>
      </x:c>
      <x:c r="AU19" s="1" t="s">
        <x:v>147</x:v>
      </x:c>
      <x:c r="AV19" s="1" t="s">
        <x:v>181</x:v>
      </x:c>
      <x:c r="AW19" s="1" t="s">
        <x:v>131</x:v>
      </x:c>
      <x:c r="AX19" s="1" t="s">
        <x:v>137</x:v>
      </x:c>
      <x:c r="AY19" s="1" t="s">
        <x:v>138</x:v>
      </x:c>
      <x:c r="AZ19" s="1" t="s">
        <x:v>112</x:v>
      </x:c>
      <x:c r="BA19" s="1" t="s">
        <x:v>162</x:v>
      </x:c>
      <x:c r="BB19" s="1" t="s">
        <x:v>146</x:v>
      </x:c>
      <x:c r="BC19" s="1" t="s">
        <x:v>162</x:v>
      </x:c>
      <x:c r="BD19" s="1" t="s">
        <x:v>178</x:v>
      </x:c>
      <x:c r="BE19" s="11" t="n">
        <x:f>ROUND((((B19*2+C19+D19+E19+F19*2+G19+H19+I19)/10)+((J19*2+K19+L19+M19+N19*2+O19+P19+Q19)/10)*2)/3,2)</x:f>
        <x:v>6.95</x:v>
      </x:c>
      <x:c r="BF19" s="11" t="n">
        <x:f>ROUND((((R19*2+S19+T19+U19+V19*2+W19+X19+Y19)/10)+((Z19*2+AA19+AB19+AC19+AD19*2+AE19+AF19+AG19)/10)*2)/3,2)</x:f>
        <x:v>6.94</x:v>
      </x:c>
      <x:c r="BG19" s="11" t="n">
        <x:f>ROUND((((AH19*2+AI19+AJ19+AK19+AL19*2+AM19+AN19+AO19)/10)+((AP19*2+AQ19+AR19+AS19+AT19*2+AU19+AV19+AW19)/10)*2)/3,2)</x:f>
        <x:v>6.75</x:v>
      </x:c>
      <x:c r="BH19" s="13" t="str">
        <x:f>IF(BE19&lt;5,"Y",IF(BE19&lt;6.5,"TB",IF(BE19&lt;8,"K",IF(BE19&lt;9,"G","XS"))))</x:f>
        <x:v>K</x:v>
      </x:c>
      <x:c r="BI19" s="13" t="str">
        <x:f>IF(BF19&lt;5,"Y",IF(BF19&lt;6.5,"TB",IF(BF19&lt;8,"K",IF(BF19&lt;9,"G","XS"))))</x:f>
        <x:v>K</x:v>
      </x:c>
      <x:c r="BJ19" s="13" t="str">
        <x:f>IF(BG19&lt;5,"Y",IF(BG19&lt;6.5,"TB",IF(BG19&lt;8,"K",IF(BG19&lt;9,"G","XS"))))</x:f>
        <x:v>K</x:v>
      </x:c>
      <x:c r="BK19" s="11" t="n">
        <x:f>ROUND((BE19/10)*4,2)</x:f>
        <x:v>2.78</x:v>
      </x:c>
      <x:c r="BL19" s="11" t="n">
        <x:f>ROUND((BF19/10)*4,2)</x:f>
        <x:v>2.78</x:v>
      </x:c>
      <x:c r="BM19" s="11" t="n">
        <x:f>ROUND((BG19/10)*4,2)</x:f>
        <x:v>2.7</x:v>
      </x:c>
      <x:c r="BN19" s="13" t="n">
        <x:f>IF(IF(OR(BD19="A",BD19="A1"),(BA19*2+BB19+BC19)/4,IF(BD19="B",(BA19+BB19*2+BC19)/4,(BA19+BB19+BC19)/3))&gt;=5,1,0)</x:f>
        <x:v>0</x:v>
      </x:c>
    </x:row>
    <x:row r="20">
      <x:c r="A20" s="1" t="s">
        <x:v>201</x:v>
      </x:c>
      <x:c r="B20" s="1" t="s">
        <x:v>144</x:v>
      </x:c>
      <x:c r="C20" s="1" t="s">
        <x:v>161</x:v>
      </x:c>
      <x:c r="D20" s="1" t="s">
        <x:v>155</x:v>
      </x:c>
      <x:c r="E20" s="1" t="s">
        <x:v>118</x:v>
      </x:c>
      <x:c r="F20" s="1" t="s">
        <x:v>195</x:v>
      </x:c>
      <x:c r="G20" s="1" t="s">
        <x:v>114</x:v>
      </x:c>
      <x:c r="H20" s="1" t="s">
        <x:v>147</x:v>
      </x:c>
      <x:c r="I20" s="1" t="s">
        <x:v>155</x:v>
      </x:c>
      <x:c r="J20" s="1" t="s">
        <x:v>170</x:v>
      </x:c>
      <x:c r="K20" s="1" t="s">
        <x:v>168</x:v>
      </x:c>
      <x:c r="L20" s="1" t="s">
        <x:v>115</x:v>
      </x:c>
      <x:c r="M20" s="1" t="s">
        <x:v>127</x:v>
      </x:c>
      <x:c r="N20" s="1" t="s">
        <x:v>147</x:v>
      </x:c>
      <x:c r="O20" s="1" t="s">
        <x:v>182</x:v>
      </x:c>
      <x:c r="P20" s="1" t="s">
        <x:v>114</x:v>
      </x:c>
      <x:c r="Q20" s="1" t="s">
        <x:v>147</x:v>
      </x:c>
      <x:c r="R20" s="1" t="s">
        <x:v>118</x:v>
      </x:c>
      <x:c r="S20" s="1" t="s">
        <x:v>129</x:v>
      </x:c>
      <x:c r="T20" s="1" t="s">
        <x:v>165</x:v>
      </x:c>
      <x:c r="U20" s="1" t="s">
        <x:v>181</x:v>
      </x:c>
      <x:c r="V20" s="1" t="s">
        <x:v>150</x:v>
      </x:c>
      <x:c r="W20" s="1" t="s">
        <x:v>202</x:v>
      </x:c>
      <x:c r="X20" s="1" t="s">
        <x:v>176</x:v>
      </x:c>
      <x:c r="Y20" s="1" t="s">
        <x:v>115</x:v>
      </x:c>
      <x:c r="Z20" s="1" t="s">
        <x:v>118</x:v>
      </x:c>
      <x:c r="AA20" s="1" t="s">
        <x:v>161</x:v>
      </x:c>
      <x:c r="AB20" s="1" t="s">
        <x:v>113</x:v>
      </x:c>
      <x:c r="AC20" s="1" t="s">
        <x:v>117</x:v>
      </x:c>
      <x:c r="AD20" s="1" t="s">
        <x:v>134</x:v>
      </x:c>
      <x:c r="AE20" s="1" t="s">
        <x:v>183</x:v>
      </x:c>
      <x:c r="AF20" s="1" t="s">
        <x:v>186</x:v>
      </x:c>
      <x:c r="AG20" s="1" t="s">
        <x:v>135</x:v>
      </x:c>
      <x:c r="AH20" s="1" t="s">
        <x:v>165</x:v>
      </x:c>
      <x:c r="AI20" s="1" t="s">
        <x:v>166</x:v>
      </x:c>
      <x:c r="AJ20" s="1" t="s">
        <x:v>181</x:v>
      </x:c>
      <x:c r="AK20" s="1" t="s">
        <x:v>113</x:v>
      </x:c>
      <x:c r="AL20" s="1" t="s">
        <x:v>134</x:v>
      </x:c>
      <x:c r="AM20" s="1" t="s">
        <x:v>117</x:v>
      </x:c>
      <x:c r="AN20" s="1" t="s">
        <x:v>168</x:v>
      </x:c>
      <x:c r="AO20" s="1" t="s">
        <x:v>147</x:v>
      </x:c>
      <x:c r="AP20" s="1" t="s">
        <x:v>114</x:v>
      </x:c>
      <x:c r="AQ20" s="1" t="s">
        <x:v>114</x:v>
      </x:c>
      <x:c r="AR20" s="1" t="s">
        <x:v>129</x:v>
      </x:c>
      <x:c r="AS20" s="1" t="s">
        <x:v>168</x:v>
      </x:c>
      <x:c r="AT20" s="1" t="s">
        <x:v>130</x:v>
      </x:c>
      <x:c r="AU20" s="1" t="s">
        <x:v>202</x:v>
      </x:c>
      <x:c r="AV20" s="1" t="s">
        <x:v>168</x:v>
      </x:c>
      <x:c r="AW20" s="1" t="s">
        <x:v>118</x:v>
      </x:c>
      <x:c r="AX20" s="1" t="s">
        <x:v>160</x:v>
      </x:c>
      <x:c r="AY20" s="1" t="s">
        <x:v>138</x:v>
      </x:c>
      <x:c r="AZ20" s="1" t="s">
        <x:v>112</x:v>
      </x:c>
      <x:c r="BA20" s="1" t="s">
        <x:v>172</x:v>
      </x:c>
      <x:c r="BB20" s="1" t="s">
        <x:v>141</x:v>
      </x:c>
      <x:c r="BC20" s="1" t="s">
        <x:v>134</x:v>
      </x:c>
      <x:c r="BD20" s="1" t="s">
        <x:v>178</x:v>
      </x:c>
      <x:c r="BE20" s="11" t="n">
        <x:f>ROUND((((B20*2+C20+D20+E20+F20*2+G20+H20+I20)/10)+((J20*2+K20+L20+M20+N20*2+O20+P20+Q20)/10)*2)/3,2)</x:f>
        <x:v>5.88</x:v>
      </x:c>
      <x:c r="BF20" s="11" t="n">
        <x:f>ROUND((((R20*2+S20+T20+U20+V20*2+W20+X20+Y20)/10)+((Z20*2+AA20+AB20+AC20+AD20*2+AE20+AF20+AG20)/10)*2)/3,2)</x:f>
        <x:v>6.67</x:v>
      </x:c>
      <x:c r="BG20" s="11" t="n">
        <x:f>ROUND((((AH20*2+AI20+AJ20+AK20+AL20*2+AM20+AN20+AO20)/10)+((AP20*2+AQ20+AR20+AS20+AT20*2+AU20+AV20+AW20)/10)*2)/3,2)</x:f>
        <x:v>6.76</x:v>
      </x:c>
      <x:c r="BH20" s="13" t="str">
        <x:f>IF(BE20&lt;5,"Y",IF(BE20&lt;6.5,"TB",IF(BE20&lt;8,"K",IF(BE20&lt;9,"G","XS"))))</x:f>
        <x:v>TB</x:v>
      </x:c>
      <x:c r="BI20" s="13" t="str">
        <x:f>IF(BF20&lt;5,"Y",IF(BF20&lt;6.5,"TB",IF(BF20&lt;8,"K",IF(BF20&lt;9,"G","XS"))))</x:f>
        <x:v>K</x:v>
      </x:c>
      <x:c r="BJ20" s="13" t="str">
        <x:f>IF(BG20&lt;5,"Y",IF(BG20&lt;6.5,"TB",IF(BG20&lt;8,"K",IF(BG20&lt;9,"G","XS"))))</x:f>
        <x:v>K</x:v>
      </x:c>
      <x:c r="BK20" s="11" t="n">
        <x:f>ROUND((BE20/10)*4,2)</x:f>
        <x:v>2.35</x:v>
      </x:c>
      <x:c r="BL20" s="11" t="n">
        <x:f>ROUND((BF20/10)*4,2)</x:f>
        <x:v>2.67</x:v>
      </x:c>
      <x:c r="BM20" s="11" t="n">
        <x:f>ROUND((BG20/10)*4,2)</x:f>
        <x:v>2.7</x:v>
      </x:c>
      <x:c r="BN20" s="13" t="n">
        <x:f>IF(IF(OR(BD20="A",BD20="A1"),(BA20*2+BB20+BC20)/4,IF(BD20="B",(BA20+BB20*2+BC20)/4,(BA20+BB20+BC20)/3))&gt;=5,1,0)</x:f>
        <x:v>0</x:v>
      </x:c>
    </x:row>
    <x:row r="21">
      <x:c r="A21" s="1" t="s">
        <x:v>203</x:v>
      </x:c>
      <x:c r="B21" s="1" t="s">
        <x:v>131</x:v>
      </x:c>
      <x:c r="C21" s="1" t="s">
        <x:v>170</x:v>
      </x:c>
      <x:c r="D21" s="1" t="s">
        <x:v>114</x:v>
      </x:c>
      <x:c r="E21" s="1" t="s">
        <x:v>145</x:v>
      </x:c>
      <x:c r="F21" s="1" t="s">
        <x:v>118</x:v>
      </x:c>
      <x:c r="G21" s="1" t="s">
        <x:v>161</x:v>
      </x:c>
      <x:c r="H21" s="1" t="s">
        <x:v>132</x:v>
      </x:c>
      <x:c r="I21" s="1" t="s">
        <x:v>170</x:v>
      </x:c>
      <x:c r="J21" s="1" t="s">
        <x:v>118</x:v>
      </x:c>
      <x:c r="K21" s="1" t="s">
        <x:v>155</x:v>
      </x:c>
      <x:c r="L21" s="1" t="s">
        <x:v>134</x:v>
      </x:c>
      <x:c r="M21" s="1" t="s">
        <x:v>115</x:v>
      </x:c>
      <x:c r="N21" s="1" t="s">
        <x:v>121</x:v>
      </x:c>
      <x:c r="O21" s="1" t="s">
        <x:v>132</x:v>
      </x:c>
      <x:c r="P21" s="1" t="s">
        <x:v>164</x:v>
      </x:c>
      <x:c r="Q21" s="1" t="s">
        <x:v>170</x:v>
      </x:c>
      <x:c r="R21" s="1" t="s">
        <x:v>170</x:v>
      </x:c>
      <x:c r="S21" s="1" t="s">
        <x:v>186</x:v>
      </x:c>
      <x:c r="T21" s="1" t="s">
        <x:v>144</x:v>
      </x:c>
      <x:c r="U21" s="1" t="s">
        <x:v>116</x:v>
      </x:c>
      <x:c r="V21" s="1" t="s">
        <x:v>159</x:v>
      </x:c>
      <x:c r="W21" s="1" t="s">
        <x:v>121</x:v>
      </x:c>
      <x:c r="X21" s="1" t="s">
        <x:v>174</x:v>
      </x:c>
      <x:c r="Y21" s="1" t="s">
        <x:v>155</x:v>
      </x:c>
      <x:c r="Z21" s="1" t="s">
        <x:v>132</x:v>
      </x:c>
      <x:c r="AA21" s="1" t="s">
        <x:v>125</x:v>
      </x:c>
      <x:c r="AB21" s="1" t="s">
        <x:v>135</x:v>
      </x:c>
      <x:c r="AC21" s="1" t="s">
        <x:v>113</x:v>
      </x:c>
      <x:c r="AD21" s="1" t="s">
        <x:v>174</x:v>
      </x:c>
      <x:c r="AE21" s="1" t="s">
        <x:v>134</x:v>
      </x:c>
      <x:c r="AF21" s="1" t="s">
        <x:v>136</x:v>
      </x:c>
      <x:c r="AG21" s="1" t="s">
        <x:v>161</x:v>
      </x:c>
      <x:c r="AH21" s="1" t="s">
        <x:v>123</x:v>
      </x:c>
      <x:c r="AI21" s="1" t="s">
        <x:v>164</x:v>
      </x:c>
      <x:c r="AJ21" s="1" t="s">
        <x:v>123</x:v>
      </x:c>
      <x:c r="AK21" s="1" t="s">
        <x:v>159</x:v>
      </x:c>
      <x:c r="AL21" s="1" t="s">
        <x:v>132</x:v>
      </x:c>
      <x:c r="AM21" s="1" t="s">
        <x:v>131</x:v>
      </x:c>
      <x:c r="AN21" s="1" t="s">
        <x:v>115</x:v>
      </x:c>
      <x:c r="AO21" s="1" t="s">
        <x:v>134</x:v>
      </x:c>
      <x:c r="AP21" s="1" t="s">
        <x:v>184</x:v>
      </x:c>
      <x:c r="AQ21" s="1" t="s">
        <x:v>174</x:v>
      </x:c>
      <x:c r="AR21" s="1" t="s">
        <x:v>159</x:v>
      </x:c>
      <x:c r="AS21" s="1" t="s">
        <x:v>123</x:v>
      </x:c>
      <x:c r="AT21" s="1" t="s">
        <x:v>133</x:v>
      </x:c>
      <x:c r="AU21" s="1" t="s">
        <x:v>168</x:v>
      </x:c>
      <x:c r="AV21" s="1" t="s">
        <x:v>115</x:v>
      </x:c>
      <x:c r="AW21" s="1" t="s">
        <x:v>121</x:v>
      </x:c>
      <x:c r="AX21" s="1" t="s">
        <x:v>160</x:v>
      </x:c>
      <x:c r="AY21" s="1" t="s">
        <x:v>138</x:v>
      </x:c>
      <x:c r="AZ21" s="1" t="s">
        <x:v>112</x:v>
      </x:c>
      <x:c r="BA21" s="1" t="s">
        <x:v>140</x:v>
      </x:c>
      <x:c r="BB21" s="1" t="s">
        <x:v>190</x:v>
      </x:c>
      <x:c r="BC21" s="1" t="s">
        <x:v>162</x:v>
      </x:c>
      <x:c r="BD21" s="1" t="s">
        <x:v>178</x:v>
      </x:c>
      <x:c r="BE21" s="11" t="n">
        <x:f>ROUND((((B21*2+C21+D21+E21+F21*2+G21+H21+I21)/10)+((J21*2+K21+L21+M21+N21*2+O21+P21+Q21)/10)*2)/3,2)</x:f>
        <x:v>5.6</x:v>
      </x:c>
      <x:c r="BF21" s="11" t="n">
        <x:f>ROUND((((R21*2+S21+T21+U21+V21*2+W21+X21+Y21)/10)+((Z21*2+AA21+AB21+AC21+AD21*2+AE21+AF21+AG21)/10)*2)/3,2)</x:f>
        <x:v>6.57</x:v>
      </x:c>
      <x:c r="BG21" s="11" t="n">
        <x:f>ROUND((((AH21*2+AI21+AJ21+AK21+AL21*2+AM21+AN21+AO21)/10)+((AP21*2+AQ21+AR21+AS21+AT21*2+AU21+AV21+AW21)/10)*2)/3,2)</x:f>
        <x:v>6.61</x:v>
      </x:c>
      <x:c r="BH21" s="13" t="str">
        <x:f>IF(BE21&lt;5,"Y",IF(BE21&lt;6.5,"TB",IF(BE21&lt;8,"K",IF(BE21&lt;9,"G","XS"))))</x:f>
        <x:v>TB</x:v>
      </x:c>
      <x:c r="BI21" s="13" t="str">
        <x:f>IF(BF21&lt;5,"Y",IF(BF21&lt;6.5,"TB",IF(BF21&lt;8,"K",IF(BF21&lt;9,"G","XS"))))</x:f>
        <x:v>K</x:v>
      </x:c>
      <x:c r="BJ21" s="13" t="str">
        <x:f>IF(BG21&lt;5,"Y",IF(BG21&lt;6.5,"TB",IF(BG21&lt;8,"K",IF(BG21&lt;9,"G","XS"))))</x:f>
        <x:v>K</x:v>
      </x:c>
      <x:c r="BK21" s="11" t="n">
        <x:f>ROUND((BE21/10)*4,2)</x:f>
        <x:v>2.24</x:v>
      </x:c>
      <x:c r="BL21" s="11" t="n">
        <x:f>ROUND((BF21/10)*4,2)</x:f>
        <x:v>2.63</x:v>
      </x:c>
      <x:c r="BM21" s="11" t="n">
        <x:f>ROUND((BG21/10)*4,2)</x:f>
        <x:v>2.64</x:v>
      </x:c>
      <x:c r="BN21" s="13" t="n">
        <x:f>IF(IF(OR(BD21="A",BD21="A1"),(BA21*2+BB21+BC21)/4,IF(BD21="B",(BA21+BB21*2+BC21)/4,(BA21+BB21+BC21)/3))&gt;=5,1,0)</x:f>
        <x:v>0</x:v>
      </x:c>
    </x:row>
    <x:row r="22">
      <x:c r="A22" s="1" t="s">
        <x:v>204</x:v>
      </x:c>
      <x:c r="B22" s="1" t="s">
        <x:v>185</x:v>
      </x:c>
      <x:c r="C22" s="1" t="s">
        <x:v>114</x:v>
      </x:c>
      <x:c r="D22" s="1" t="s">
        <x:v>181</x:v>
      </x:c>
      <x:c r="E22" s="1" t="s">
        <x:v>136</x:v>
      </x:c>
      <x:c r="F22" s="1" t="s">
        <x:v>131</x:v>
      </x:c>
      <x:c r="G22" s="1" t="s">
        <x:v>113</x:v>
      </x:c>
      <x:c r="H22" s="1" t="s">
        <x:v>161</x:v>
      </x:c>
      <x:c r="I22" s="1" t="s">
        <x:v>135</x:v>
      </x:c>
      <x:c r="J22" s="1" t="s">
        <x:v>168</x:v>
      </x:c>
      <x:c r="K22" s="1" t="s">
        <x:v>114</x:v>
      </x:c>
      <x:c r="L22" s="1" t="s">
        <x:v>133</x:v>
      </x:c>
      <x:c r="M22" s="1" t="s">
        <x:v>133</x:v>
      </x:c>
      <x:c r="N22" s="1" t="s">
        <x:v>147</x:v>
      </x:c>
      <x:c r="O22" s="1" t="s">
        <x:v>114</x:v>
      </x:c>
      <x:c r="P22" s="1" t="s">
        <x:v>132</x:v>
      </x:c>
      <x:c r="Q22" s="1" t="s">
        <x:v>159</x:v>
      </x:c>
      <x:c r="R22" s="1" t="s">
        <x:v>132</x:v>
      </x:c>
      <x:c r="S22" s="1" t="s">
        <x:v>181</x:v>
      </x:c>
      <x:c r="T22" s="1" t="s">
        <x:v>182</x:v>
      </x:c>
      <x:c r="U22" s="1" t="s">
        <x:v>132</x:v>
      </x:c>
      <x:c r="V22" s="1" t="s">
        <x:v>150</x:v>
      </x:c>
      <x:c r="W22" s="1" t="s">
        <x:v>123</x:v>
      </x:c>
      <x:c r="X22" s="1" t="s">
        <x:v>129</x:v>
      </x:c>
      <x:c r="Y22" s="1" t="s">
        <x:v>121</x:v>
      </x:c>
      <x:c r="Z22" s="1" t="s">
        <x:v>121</x:v>
      </x:c>
      <x:c r="AA22" s="1" t="s">
        <x:v>135</x:v>
      </x:c>
      <x:c r="AB22" s="1" t="s">
        <x:v>114</x:v>
      </x:c>
      <x:c r="AC22" s="1" t="s">
        <x:v>118</x:v>
      </x:c>
      <x:c r="AD22" s="1" t="s">
        <x:v>126</x:v>
      </x:c>
      <x:c r="AE22" s="1" t="s">
        <x:v>199</x:v>
      </x:c>
      <x:c r="AF22" s="1" t="s">
        <x:v>168</x:v>
      </x:c>
      <x:c r="AG22" s="1" t="s">
        <x:v>132</x:v>
      </x:c>
      <x:c r="AH22" s="1" t="s">
        <x:v>129</x:v>
      </x:c>
      <x:c r="AI22" s="1" t="s">
        <x:v>115</x:v>
      </x:c>
      <x:c r="AJ22" s="1" t="s">
        <x:v>165</x:v>
      </x:c>
      <x:c r="AK22" s="1" t="s">
        <x:v>129</x:v>
      </x:c>
      <x:c r="AL22" s="1" t="s">
        <x:v>155</x:v>
      </x:c>
      <x:c r="AM22" s="1" t="s">
        <x:v>151</x:v>
      </x:c>
      <x:c r="AN22" s="1" t="s">
        <x:v>181</x:v>
      </x:c>
      <x:c r="AO22" s="1" t="s">
        <x:v>134</x:v>
      </x:c>
      <x:c r="AP22" s="1" t="s">
        <x:v>120</x:v>
      </x:c>
      <x:c r="AQ22" s="1" t="s">
        <x:v>185</x:v>
      </x:c>
      <x:c r="AR22" s="1" t="s">
        <x:v>135</x:v>
      </x:c>
      <x:c r="AS22" s="1" t="s">
        <x:v>147</x:v>
      </x:c>
      <x:c r="AT22" s="1" t="s">
        <x:v>121</x:v>
      </x:c>
      <x:c r="AU22" s="1" t="s">
        <x:v>133</x:v>
      </x:c>
      <x:c r="AV22" s="1" t="s">
        <x:v>123</x:v>
      </x:c>
      <x:c r="AW22" s="1" t="s">
        <x:v>118</x:v>
      </x:c>
      <x:c r="AX22" s="1" t="s">
        <x:v>137</x:v>
      </x:c>
      <x:c r="AY22" s="1" t="s">
        <x:v>138</x:v>
      </x:c>
      <x:c r="AZ22" s="1" t="s">
        <x:v>143</x:v>
      </x:c>
      <x:c r="BA22" s="1" t="s">
        <x:v>162</x:v>
      </x:c>
      <x:c r="BB22" s="1" t="s">
        <x:v>146</x:v>
      </x:c>
      <x:c r="BC22" s="1" t="s">
        <x:v>146</x:v>
      </x:c>
      <x:c r="BD22" s="1" t="s">
        <x:v>178</x:v>
      </x:c>
      <x:c r="BE22" s="11" t="n">
        <x:f>ROUND((((B22*2+C22+D22+E22+F22*2+G22+H22+I22)/10)+((J22*2+K22+L22+M22+N22*2+O22+P22+Q22)/10)*2)/3,2)</x:f>
        <x:v>6.48</x:v>
      </x:c>
      <x:c r="BF22" s="11" t="n">
        <x:f>ROUND((((R22*2+S22+T22+U22+V22*2+W22+X22+Y22)/10)+((Z22*2+AA22+AB22+AC22+AD22*2+AE22+AF22+AG22)/10)*2)/3,2)</x:f>
        <x:v>5.95</x:v>
      </x:c>
      <x:c r="BG22" s="11" t="n">
        <x:f>ROUND((((AH22*2+AI22+AJ22+AK22+AL22*2+AM22+AN22+AO22)/10)+((AP22*2+AQ22+AR22+AS22+AT22*2+AU22+AV22+AW22)/10)*2)/3,2)</x:f>
        <x:v>6.55</x:v>
      </x:c>
      <x:c r="BH22" s="13" t="str">
        <x:f>IF(BE22&lt;5,"Y",IF(BE22&lt;6.5,"TB",IF(BE22&lt;8,"K",IF(BE22&lt;9,"G","XS"))))</x:f>
        <x:v>TB</x:v>
      </x:c>
      <x:c r="BI22" s="13" t="str">
        <x:f>IF(BF22&lt;5,"Y",IF(BF22&lt;6.5,"TB",IF(BF22&lt;8,"K",IF(BF22&lt;9,"G","XS"))))</x:f>
        <x:v>TB</x:v>
      </x:c>
      <x:c r="BJ22" s="13" t="str">
        <x:f>IF(BG22&lt;5,"Y",IF(BG22&lt;6.5,"TB",IF(BG22&lt;8,"K",IF(BG22&lt;9,"G","XS"))))</x:f>
        <x:v>K</x:v>
      </x:c>
      <x:c r="BK22" s="11" t="n">
        <x:f>ROUND((BE22/10)*4,2)</x:f>
        <x:v>2.59</x:v>
      </x:c>
      <x:c r="BL22" s="11" t="n">
        <x:f>ROUND((BF22/10)*4,2)</x:f>
        <x:v>2.38</x:v>
      </x:c>
      <x:c r="BM22" s="11" t="n">
        <x:f>ROUND((BG22/10)*4,2)</x:f>
        <x:v>2.62</x:v>
      </x:c>
      <x:c r="BN22" s="13" t="n">
        <x:f>IF(IF(OR(BD22="A",BD22="A1"),(BA22*2+BB22+BC22)/4,IF(BD22="B",(BA22+BB22*2+BC22)/4,(BA22+BB22+BC22)/3))&gt;=5,1,0)</x:f>
        <x:v>0</x:v>
      </x:c>
    </x:row>
    <x:row r="23">
      <x:c r="A23" s="1" t="s">
        <x:v>205</x:v>
      </x:c>
      <x:c r="B23" s="1" t="s">
        <x:v>145</x:v>
      </x:c>
      <x:c r="C23" s="1" t="s">
        <x:v>145</x:v>
      </x:c>
      <x:c r="D23" s="1" t="s">
        <x:v>161</x:v>
      </x:c>
      <x:c r="E23" s="1" t="s">
        <x:v>159</x:v>
      </x:c>
      <x:c r="F23" s="1" t="s">
        <x:v>132</x:v>
      </x:c>
      <x:c r="G23" s="1" t="s">
        <x:v>170</x:v>
      </x:c>
      <x:c r="H23" s="1" t="s">
        <x:v>115</x:v>
      </x:c>
      <x:c r="I23" s="1" t="s">
        <x:v>126</x:v>
      </x:c>
      <x:c r="J23" s="1" t="s">
        <x:v>131</x:v>
      </x:c>
      <x:c r="K23" s="1" t="s">
        <x:v>156</x:v>
      </x:c>
      <x:c r="L23" s="1" t="s">
        <x:v>166</x:v>
      </x:c>
      <x:c r="M23" s="1" t="s">
        <x:v>116</x:v>
      </x:c>
      <x:c r="N23" s="1" t="s">
        <x:v>166</x:v>
      </x:c>
      <x:c r="O23" s="1" t="s">
        <x:v>115</x:v>
      </x:c>
      <x:c r="P23" s="1" t="s">
        <x:v>123</x:v>
      </x:c>
      <x:c r="Q23" s="1" t="s">
        <x:v>141</x:v>
      </x:c>
      <x:c r="R23" s="1" t="s">
        <x:v>115</x:v>
      </x:c>
      <x:c r="S23" s="1" t="s">
        <x:v>126</x:v>
      </x:c>
      <x:c r="T23" s="1" t="s">
        <x:v>123</x:v>
      </x:c>
      <x:c r="U23" s="1" t="s">
        <x:v>123</x:v>
      </x:c>
      <x:c r="V23" s="1" t="s">
        <x:v>161</x:v>
      </x:c>
      <x:c r="W23" s="1" t="s">
        <x:v>114</x:v>
      </x:c>
      <x:c r="X23" s="1" t="s">
        <x:v>168</x:v>
      </x:c>
      <x:c r="Y23" s="1" t="s">
        <x:v>164</x:v>
      </x:c>
      <x:c r="Z23" s="1" t="s">
        <x:v>127</x:v>
      </x:c>
      <x:c r="AA23" s="1" t="s">
        <x:v>159</x:v>
      </x:c>
      <x:c r="AB23" s="1" t="s">
        <x:v>116</x:v>
      </x:c>
      <x:c r="AC23" s="1" t="s">
        <x:v>177</x:v>
      </x:c>
      <x:c r="AD23" s="1" t="s">
        <x:v>164</x:v>
      </x:c>
      <x:c r="AE23" s="1" t="s">
        <x:v>168</x:v>
      </x:c>
      <x:c r="AF23" s="1" t="s">
        <x:v>127</x:v>
      </x:c>
      <x:c r="AG23" s="1" t="s">
        <x:v>126</x:v>
      </x:c>
      <x:c r="AH23" s="1" t="s">
        <x:v>179</x:v>
      </x:c>
      <x:c r="AI23" s="1" t="s">
        <x:v>123</x:v>
      </x:c>
      <x:c r="AJ23" s="1" t="s">
        <x:v>165</x:v>
      </x:c>
      <x:c r="AK23" s="1" t="s">
        <x:v>131</x:v>
      </x:c>
      <x:c r="AL23" s="1" t="s">
        <x:v>115</x:v>
      </x:c>
      <x:c r="AM23" s="1" t="s">
        <x:v>161</x:v>
      </x:c>
      <x:c r="AN23" s="1" t="s">
        <x:v>129</x:v>
      </x:c>
      <x:c r="AO23" s="1" t="s">
        <x:v>118</x:v>
      </x:c>
      <x:c r="AP23" s="1" t="s">
        <x:v>119</x:v>
      </x:c>
      <x:c r="AQ23" s="1" t="s">
        <x:v>181</x:v>
      </x:c>
      <x:c r="AR23" s="1" t="s">
        <x:v>123</x:v>
      </x:c>
      <x:c r="AS23" s="1" t="s">
        <x:v>174</x:v>
      </x:c>
      <x:c r="AT23" s="1" t="s">
        <x:v>166</x:v>
      </x:c>
      <x:c r="AU23" s="1" t="s">
        <x:v>168</x:v>
      </x:c>
      <x:c r="AV23" s="1" t="s">
        <x:v>132</x:v>
      </x:c>
      <x:c r="AW23" s="1" t="s">
        <x:v>159</x:v>
      </x:c>
      <x:c r="AX23" s="1" t="s">
        <x:v>160</x:v>
      </x:c>
      <x:c r="AY23" s="1" t="s">
        <x:v>138</x:v>
      </x:c>
      <x:c r="AZ23" s="1" t="s">
        <x:v>112</x:v>
      </x:c>
      <x:c r="BA23" s="1" t="s">
        <x:v>196</x:v>
      </x:c>
      <x:c r="BB23" s="1" t="s">
        <x:v>134</x:v>
      </x:c>
      <x:c r="BC23" s="1" t="s">
        <x:v>172</x:v>
      </x:c>
      <x:c r="BD23" s="1" t="s">
        <x:v>178</x:v>
      </x:c>
      <x:c r="BE23" s="11" t="n">
        <x:f>ROUND((((B23*2+C23+D23+E23+F23*2+G23+H23+I23)/10)+((J23*2+K23+L23+M23+N23*2+O23+P23+Q23)/10)*2)/3,2)</x:f>
        <x:v>5.72</x:v>
      </x:c>
      <x:c r="BF23" s="11" t="n">
        <x:f>ROUND((((R23*2+S23+T23+U23+V23*2+W23+X23+Y23)/10)+((Z23*2+AA23+AB23+AC23+AD23*2+AE23+AF23+AG23)/10)*2)/3,2)</x:f>
        <x:v>6.62</x:v>
      </x:c>
      <x:c r="BG23" s="11" t="n">
        <x:f>ROUND((((AH23*2+AI23+AJ23+AK23+AL23*2+AM23+AN23+AO23)/10)+((AP23*2+AQ23+AR23+AS23+AT23*2+AU23+AV23+AW23)/10)*2)/3,2)</x:f>
        <x:v>7.02</x:v>
      </x:c>
      <x:c r="BH23" s="13" t="str">
        <x:f>IF(BE23&lt;5,"Y",IF(BE23&lt;6.5,"TB",IF(BE23&lt;8,"K",IF(BE23&lt;9,"G","XS"))))</x:f>
        <x:v>TB</x:v>
      </x:c>
      <x:c r="BI23" s="13" t="str">
        <x:f>IF(BF23&lt;5,"Y",IF(BF23&lt;6.5,"TB",IF(BF23&lt;8,"K",IF(BF23&lt;9,"G","XS"))))</x:f>
        <x:v>K</x:v>
      </x:c>
      <x:c r="BJ23" s="13" t="str">
        <x:f>IF(BG23&lt;5,"Y",IF(BG23&lt;6.5,"TB",IF(BG23&lt;8,"K",IF(BG23&lt;9,"G","XS"))))</x:f>
        <x:v>K</x:v>
      </x:c>
      <x:c r="BK23" s="11" t="n">
        <x:f>ROUND((BE23/10)*4,2)</x:f>
        <x:v>2.29</x:v>
      </x:c>
      <x:c r="BL23" s="11" t="n">
        <x:f>ROUND((BF23/10)*4,2)</x:f>
        <x:v>2.65</x:v>
      </x:c>
      <x:c r="BM23" s="11" t="n">
        <x:f>ROUND((BG23/10)*4,2)</x:f>
        <x:v>2.81</x:v>
      </x:c>
      <x:c r="BN23" s="13" t="n">
        <x:f>IF(IF(OR(BD23="A",BD23="A1"),(BA23*2+BB23+BC23)/4,IF(BD23="B",(BA23+BB23*2+BC23)/4,(BA23+BB23+BC23)/3))&gt;=5,1,0)</x:f>
        <x:v>0</x:v>
      </x:c>
    </x:row>
    <x:row r="24">
      <x:c r="A24" s="1" t="s">
        <x:v>206</x:v>
      </x:c>
      <x:c r="B24" s="1" t="s">
        <x:v>134</x:v>
      </x:c>
      <x:c r="C24" s="1" t="s">
        <x:v>156</x:v>
      </x:c>
      <x:c r="D24" s="1" t="s">
        <x:v>115</x:v>
      </x:c>
      <x:c r="E24" s="1" t="s">
        <x:v>141</x:v>
      </x:c>
      <x:c r="F24" s="1" t="s">
        <x:v>164</x:v>
      </x:c>
      <x:c r="G24" s="1" t="s">
        <x:v>121</x:v>
      </x:c>
      <x:c r="H24" s="1" t="s">
        <x:v>156</x:v>
      </x:c>
      <x:c r="I24" s="1" t="s">
        <x:v>169</x:v>
      </x:c>
      <x:c r="J24" s="1" t="s">
        <x:v>121</x:v>
      </x:c>
      <x:c r="K24" s="1" t="s">
        <x:v>141</x:v>
      </x:c>
      <x:c r="L24" s="1" t="s">
        <x:v>147</x:v>
      </x:c>
      <x:c r="M24" s="1" t="s">
        <x:v>147</x:v>
      </x:c>
      <x:c r="N24" s="1" t="s">
        <x:v>133</x:v>
      </x:c>
      <x:c r="O24" s="1" t="s">
        <x:v>195</x:v>
      </x:c>
      <x:c r="P24" s="1" t="s">
        <x:v>131</x:v>
      </x:c>
      <x:c r="Q24" s="1" t="s">
        <x:v>195</x:v>
      </x:c>
      <x:c r="R24" s="1" t="s">
        <x:v>161</x:v>
      </x:c>
      <x:c r="S24" s="1" t="s">
        <x:v>126</x:v>
      </x:c>
      <x:c r="T24" s="1" t="s">
        <x:v>141</x:v>
      </x:c>
      <x:c r="U24" s="1" t="s">
        <x:v>159</x:v>
      </x:c>
      <x:c r="V24" s="1" t="s">
        <x:v>127</x:v>
      </x:c>
      <x:c r="W24" s="1" t="s">
        <x:v>125</x:v>
      </x:c>
      <x:c r="X24" s="1" t="s">
        <x:v>147</x:v>
      </x:c>
      <x:c r="Y24" s="1" t="s">
        <x:v>155</x:v>
      </x:c>
      <x:c r="Z24" s="1" t="s">
        <x:v>123</x:v>
      </x:c>
      <x:c r="AA24" s="1" t="s">
        <x:v>154</x:v>
      </x:c>
      <x:c r="AB24" s="1" t="s">
        <x:v>130</x:v>
      </x:c>
      <x:c r="AC24" s="1" t="s">
        <x:v>155</x:v>
      </x:c>
      <x:c r="AD24" s="1" t="s">
        <x:v>135</x:v>
      </x:c>
      <x:c r="AE24" s="1" t="s">
        <x:v>165</x:v>
      </x:c>
      <x:c r="AF24" s="1" t="s">
        <x:v>114</x:v>
      </x:c>
      <x:c r="AG24" s="1" t="s">
        <x:v>126</x:v>
      </x:c>
      <x:c r="AH24" s="1" t="s">
        <x:v>164</x:v>
      </x:c>
      <x:c r="AI24" s="1" t="s">
        <x:v>135</x:v>
      </x:c>
      <x:c r="AJ24" s="1" t="s">
        <x:v>168</x:v>
      </x:c>
      <x:c r="AK24" s="1" t="s">
        <x:v>131</x:v>
      </x:c>
      <x:c r="AL24" s="1" t="s">
        <x:v>129</x:v>
      </x:c>
      <x:c r="AM24" s="1" t="s">
        <x:v>123</x:v>
      </x:c>
      <x:c r="AN24" s="1" t="s">
        <x:v>170</x:v>
      </x:c>
      <x:c r="AO24" s="1" t="s">
        <x:v>118</x:v>
      </x:c>
      <x:c r="AP24" s="1" t="s">
        <x:v>118</x:v>
      </x:c>
      <x:c r="AQ24" s="1" t="s">
        <x:v>133</x:v>
      </x:c>
      <x:c r="AR24" s="1" t="s">
        <x:v>164</x:v>
      </x:c>
      <x:c r="AS24" s="1" t="s">
        <x:v>132</x:v>
      </x:c>
      <x:c r="AT24" s="1" t="s">
        <x:v>181</x:v>
      </x:c>
      <x:c r="AU24" s="1" t="s">
        <x:v>126</x:v>
      </x:c>
      <x:c r="AV24" s="1" t="s">
        <x:v>164</x:v>
      </x:c>
      <x:c r="AW24" s="1" t="s">
        <x:v>132</x:v>
      </x:c>
      <x:c r="AX24" s="1" t="s">
        <x:v>137</x:v>
      </x:c>
      <x:c r="AY24" s="1" t="s">
        <x:v>138</x:v>
      </x:c>
      <x:c r="AZ24" s="1" t="s">
        <x:v>112</x:v>
      </x:c>
      <x:c r="BA24" s="1" t="s">
        <x:v>162</x:v>
      </x:c>
      <x:c r="BB24" s="1" t="s">
        <x:v>157</x:v>
      </x:c>
      <x:c r="BC24" s="1" t="s">
        <x:v>141</x:v>
      </x:c>
      <x:c r="BD24" s="1" t="s">
        <x:v>63</x:v>
      </x:c>
      <x:c r="BE24" s="11" t="n">
        <x:f>ROUND((((B24*2+C24+D24+E24+F24*2+G24+H24+I24)/10)+((J24*2+K24+L24+M24+N24*2+O24+P24+Q24)/10)*2)/3,2)</x:f>
        <x:v>5.29</x:v>
      </x:c>
      <x:c r="BF24" s="11" t="n">
        <x:f>ROUND((((R24*2+S24+T24+U24+V24*2+W24+X24+Y24)/10)+((Z24*2+AA24+AB24+AC24+AD24*2+AE24+AF24+AG24)/10)*2)/3,2)</x:f>
        <x:v>6.09</x:v>
      </x:c>
      <x:c r="BG24" s="11" t="n">
        <x:f>ROUND((((AH24*2+AI24+AJ24+AK24+AL24*2+AM24+AN24+AO24)/10)+((AP24*2+AQ24+AR24+AS24+AT24*2+AU24+AV24+AW24)/10)*2)/3,2)</x:f>
        <x:v>6.33</x:v>
      </x:c>
      <x:c r="BH24" s="13" t="str">
        <x:f>IF(BE24&lt;5,"Y",IF(BE24&lt;6.5,"TB",IF(BE24&lt;8,"K",IF(BE24&lt;9,"G","XS"))))</x:f>
        <x:v>TB</x:v>
      </x:c>
      <x:c r="BI24" s="13" t="str">
        <x:f>IF(BF24&lt;5,"Y",IF(BF24&lt;6.5,"TB",IF(BF24&lt;8,"K",IF(BF24&lt;9,"G","XS"))))</x:f>
        <x:v>TB</x:v>
      </x:c>
      <x:c r="BJ24" s="13" t="str">
        <x:f>IF(BG24&lt;5,"Y",IF(BG24&lt;6.5,"TB",IF(BG24&lt;8,"K",IF(BG24&lt;9,"G","XS"))))</x:f>
        <x:v>TB</x:v>
      </x:c>
      <x:c r="BK24" s="11" t="n">
        <x:f>ROUND((BE24/10)*4,2)</x:f>
        <x:v>2.12</x:v>
      </x:c>
      <x:c r="BL24" s="11" t="n">
        <x:f>ROUND((BF24/10)*4,2)</x:f>
        <x:v>2.44</x:v>
      </x:c>
      <x:c r="BM24" s="11" t="n">
        <x:f>ROUND((BG24/10)*4,2)</x:f>
        <x:v>2.53</x:v>
      </x:c>
      <x:c r="BN24" s="13" t="n">
        <x:f>IF(IF(OR(BD24="A",BD24="A1"),(BA24*2+BB24+BC24)/4,IF(BD24="B",(BA24+BB24*2+BC24)/4,(BA24+BB24+BC24)/3))&gt;=5,1,0)</x:f>
        <x:v>0</x:v>
      </x:c>
    </x:row>
    <x:row r="25">
      <x:c r="A25" s="1" t="s">
        <x:v>207</x:v>
      </x:c>
      <x:c r="B25" s="1" t="s">
        <x:v>134</x:v>
      </x:c>
      <x:c r="C25" s="1" t="s">
        <x:v>141</x:v>
      </x:c>
      <x:c r="D25" s="1" t="s">
        <x:v>147</x:v>
      </x:c>
      <x:c r="E25" s="1" t="s">
        <x:v>164</x:v>
      </x:c>
      <x:c r="F25" s="1" t="s">
        <x:v>170</x:v>
      </x:c>
      <x:c r="G25" s="1" t="s">
        <x:v>118</x:v>
      </x:c>
      <x:c r="H25" s="1" t="s">
        <x:v>118</x:v>
      </x:c>
      <x:c r="I25" s="1" t="s">
        <x:v>118</x:v>
      </x:c>
      <x:c r="J25" s="1" t="s">
        <x:v>118</x:v>
      </x:c>
      <x:c r="K25" s="1" t="s">
        <x:v>118</x:v>
      </x:c>
      <x:c r="L25" s="1" t="s">
        <x:v>133</x:v>
      </x:c>
      <x:c r="M25" s="1" t="s">
        <x:v>177</x:v>
      </x:c>
      <x:c r="N25" s="1" t="s">
        <x:v>144</x:v>
      </x:c>
      <x:c r="O25" s="1" t="s">
        <x:v>115</x:v>
      </x:c>
      <x:c r="P25" s="1" t="s">
        <x:v>115</x:v>
      </x:c>
      <x:c r="Q25" s="1" t="s">
        <x:v>150</x:v>
      </x:c>
      <x:c r="R25" s="1" t="s">
        <x:v>208</x:v>
      </x:c>
      <x:c r="S25" s="1" t="s">
        <x:v>113</x:v>
      </x:c>
      <x:c r="T25" s="1" t="s">
        <x:v>141</x:v>
      </x:c>
      <x:c r="U25" s="1" t="s">
        <x:v>147</x:v>
      </x:c>
      <x:c r="V25" s="1" t="s">
        <x:v>127</x:v>
      </x:c>
      <x:c r="W25" s="1" t="s">
        <x:v>177</x:v>
      </x:c>
      <x:c r="X25" s="1" t="s">
        <x:v>121</x:v>
      </x:c>
      <x:c r="Y25" s="1" t="s">
        <x:v>132</x:v>
      </x:c>
      <x:c r="Z25" s="1" t="s">
        <x:v>169</x:v>
      </x:c>
      <x:c r="AA25" s="1" t="s">
        <x:v>114</x:v>
      </x:c>
      <x:c r="AB25" s="1" t="s">
        <x:v>155</x:v>
      </x:c>
      <x:c r="AC25" s="1" t="s">
        <x:v>184</x:v>
      </x:c>
      <x:c r="AD25" s="1" t="s">
        <x:v>116</x:v>
      </x:c>
      <x:c r="AE25" s="1" t="s">
        <x:v>175</x:v>
      </x:c>
      <x:c r="AF25" s="1" t="s">
        <x:v>136</x:v>
      </x:c>
      <x:c r="AG25" s="1" t="s">
        <x:v>147</x:v>
      </x:c>
      <x:c r="AH25" s="1" t="s">
        <x:v>199</x:v>
      </x:c>
      <x:c r="AI25" s="1" t="s">
        <x:v>166</x:v>
      </x:c>
      <x:c r="AJ25" s="1" t="s">
        <x:v>133</x:v>
      </x:c>
      <x:c r="AK25" s="1" t="s">
        <x:v>114</x:v>
      </x:c>
      <x:c r="AL25" s="1" t="s">
        <x:v>161</x:v>
      </x:c>
      <x:c r="AM25" s="1" t="s">
        <x:v>154</x:v>
      </x:c>
      <x:c r="AN25" s="1" t="s">
        <x:v>132</x:v>
      </x:c>
      <x:c r="AO25" s="1" t="s">
        <x:v>159</x:v>
      </x:c>
      <x:c r="AP25" s="1" t="s">
        <x:v>169</x:v>
      </x:c>
      <x:c r="AQ25" s="1" t="s">
        <x:v>116</x:v>
      </x:c>
      <x:c r="AR25" s="1" t="s">
        <x:v>121</x:v>
      </x:c>
      <x:c r="AS25" s="1" t="s">
        <x:v>113</x:v>
      </x:c>
      <x:c r="AT25" s="1" t="s">
        <x:v>166</x:v>
      </x:c>
      <x:c r="AU25" s="1" t="s">
        <x:v>147</x:v>
      </x:c>
      <x:c r="AV25" s="1" t="s">
        <x:v>168</x:v>
      </x:c>
      <x:c r="AW25" s="1" t="s">
        <x:v>132</x:v>
      </x:c>
      <x:c r="AX25" s="1" t="s">
        <x:v>137</x:v>
      </x:c>
      <x:c r="AY25" s="1" t="s">
        <x:v>138</x:v>
      </x:c>
      <x:c r="AZ25" s="1" t="s">
        <x:v>143</x:v>
      </x:c>
      <x:c r="BA25" s="1" t="s">
        <x:v>134</x:v>
      </x:c>
      <x:c r="BB25" s="1" t="s">
        <x:v>162</x:v>
      </x:c>
      <x:c r="BC25" s="1" t="s">
        <x:v>161</x:v>
      </x:c>
      <x:c r="BD25" s="1" t="s">
        <x:v>163</x:v>
      </x:c>
      <x:c r="BE25" s="11" t="n">
        <x:f>ROUND((((B25*2+C25+D25+E25+F25*2+G25+H25+I25)/10)+((J25*2+K25+L25+M25+N25*2+O25+P25+Q25)/10)*2)/3,2)</x:f>
        <x:v>5.64</x:v>
      </x:c>
      <x:c r="BF25" s="11" t="n">
        <x:f>ROUND((((R25*2+S25+T25+U25+V25*2+W25+X25+Y25)/10)+((Z25*2+AA25+AB25+AC25+AD25*2+AE25+AF25+AG25)/10)*2)/3,2)</x:f>
        <x:v>6.12</x:v>
      </x:c>
      <x:c r="BG25" s="11" t="n">
        <x:f>ROUND((((AH25*2+AI25+AJ25+AK25+AL25*2+AM25+AN25+AO25)/10)+((AP25*2+AQ25+AR25+AS25+AT25*2+AU25+AV25+AW25)/10)*2)/3,2)</x:f>
        <x:v>5.73</x:v>
      </x:c>
      <x:c r="BH25" s="13" t="str">
        <x:f>IF(BE25&lt;5,"Y",IF(BE25&lt;6.5,"TB",IF(BE25&lt;8,"K",IF(BE25&lt;9,"G","XS"))))</x:f>
        <x:v>TB</x:v>
      </x:c>
      <x:c r="BI25" s="13" t="str">
        <x:f>IF(BF25&lt;5,"Y",IF(BF25&lt;6.5,"TB",IF(BF25&lt;8,"K",IF(BF25&lt;9,"G","XS"))))</x:f>
        <x:v>TB</x:v>
      </x:c>
      <x:c r="BJ25" s="13" t="str">
        <x:f>IF(BG25&lt;5,"Y",IF(BG25&lt;6.5,"TB",IF(BG25&lt;8,"K",IF(BG25&lt;9,"G","XS"))))</x:f>
        <x:v>TB</x:v>
      </x:c>
      <x:c r="BK25" s="11" t="n">
        <x:f>ROUND((BE25/10)*4,2)</x:f>
        <x:v>2.26</x:v>
      </x:c>
      <x:c r="BL25" s="11" t="n">
        <x:f>ROUND((BF25/10)*4,2)</x:f>
        <x:v>2.45</x:v>
      </x:c>
      <x:c r="BM25" s="11" t="n">
        <x:f>ROUND((BG25/10)*4,2)</x:f>
        <x:v>2.29</x:v>
      </x:c>
      <x:c r="BN25" s="13" t="n">
        <x:f>IF(IF(OR(BD25="A",BD25="A1"),(BA25*2+BB25+BC25)/4,IF(BD25="B",(BA25+BB25*2+BC25)/4,(BA25+BB25+BC25)/3))&gt;=5,1,0)</x:f>
        <x:v>0</x:v>
      </x:c>
    </x:row>
    <x:row r="26">
      <x:c r="A26" s="1" t="s">
        <x:v>209</x:v>
      </x:c>
      <x:c r="B26" s="1" t="s">
        <x:v>147</x:v>
      </x:c>
      <x:c r="C26" s="1" t="s">
        <x:v>115</x:v>
      </x:c>
      <x:c r="D26" s="1" t="s">
        <x:v>133</x:v>
      </x:c>
      <x:c r="E26" s="1" t="s">
        <x:v>127</x:v>
      </x:c>
      <x:c r="F26" s="1" t="s">
        <x:v>130</x:v>
      </x:c>
      <x:c r="G26" s="1" t="s">
        <x:v>165</x:v>
      </x:c>
      <x:c r="H26" s="1" t="s">
        <x:v>123</x:v>
      </x:c>
      <x:c r="I26" s="1" t="s">
        <x:v>156</x:v>
      </x:c>
      <x:c r="J26" s="1" t="s">
        <x:v>168</x:v>
      </x:c>
      <x:c r="K26" s="1" t="s">
        <x:v>127</x:v>
      </x:c>
      <x:c r="L26" s="1" t="s">
        <x:v>150</x:v>
      </x:c>
      <x:c r="M26" s="1" t="s">
        <x:v>125</x:v>
      </x:c>
      <x:c r="N26" s="1" t="s">
        <x:v>132</x:v>
      </x:c>
      <x:c r="O26" s="1" t="s">
        <x:v>119</x:v>
      </x:c>
      <x:c r="P26" s="1" t="s">
        <x:v>168</x:v>
      </x:c>
      <x:c r="Q26" s="1" t="s">
        <x:v>154</x:v>
      </x:c>
      <x:c r="R26" s="1" t="s">
        <x:v>132</x:v>
      </x:c>
      <x:c r="S26" s="1" t="s">
        <x:v>121</x:v>
      </x:c>
      <x:c r="T26" s="1" t="s">
        <x:v>156</x:v>
      </x:c>
      <x:c r="U26" s="1" t="s">
        <x:v>125</x:v>
      </x:c>
      <x:c r="V26" s="1" t="s">
        <x:v>159</x:v>
      </x:c>
      <x:c r="W26" s="1" t="s">
        <x:v>129</x:v>
      </x:c>
      <x:c r="X26" s="1" t="s">
        <x:v>159</x:v>
      </x:c>
      <x:c r="Y26" s="1" t="s">
        <x:v>151</x:v>
      </x:c>
      <x:c r="Z26" s="1" t="s">
        <x:v>134</x:v>
      </x:c>
      <x:c r="AA26" s="1" t="s">
        <x:v>162</x:v>
      </x:c>
      <x:c r="AB26" s="1" t="s">
        <x:v>141</x:v>
      </x:c>
      <x:c r="AC26" s="1" t="s">
        <x:v>114</x:v>
      </x:c>
      <x:c r="AD26" s="1" t="s">
        <x:v>132</x:v>
      </x:c>
      <x:c r="AE26" s="1" t="s">
        <x:v>186</x:v>
      </x:c>
      <x:c r="AF26" s="1" t="s">
        <x:v>117</x:v>
      </x:c>
      <x:c r="AG26" s="1" t="s">
        <x:v>145</x:v>
      </x:c>
      <x:c r="AH26" s="1" t="s">
        <x:v>147</x:v>
      </x:c>
      <x:c r="AI26" s="1" t="s">
        <x:v>118</x:v>
      </x:c>
      <x:c r="AJ26" s="1" t="s">
        <x:v>115</x:v>
      </x:c>
      <x:c r="AK26" s="1" t="s">
        <x:v>159</x:v>
      </x:c>
      <x:c r="AL26" s="1" t="s">
        <x:v>159</x:v>
      </x:c>
      <x:c r="AM26" s="1" t="s">
        <x:v>165</x:v>
      </x:c>
      <x:c r="AN26" s="1" t="s">
        <x:v>159</x:v>
      </x:c>
      <x:c r="AO26" s="1" t="s">
        <x:v>141</x:v>
      </x:c>
      <x:c r="AP26" s="1" t="s">
        <x:v>132</x:v>
      </x:c>
      <x:c r="AQ26" s="1" t="s">
        <x:v>164</x:v>
      </x:c>
      <x:c r="AR26" s="1" t="s">
        <x:v>168</x:v>
      </x:c>
      <x:c r="AS26" s="1" t="s">
        <x:v>168</x:v>
      </x:c>
      <x:c r="AT26" s="1" t="s">
        <x:v>136</x:v>
      </x:c>
      <x:c r="AU26" s="1" t="s">
        <x:v>186</x:v>
      </x:c>
      <x:c r="AV26" s="1" t="s">
        <x:v>132</x:v>
      </x:c>
      <x:c r="AW26" s="1" t="s">
        <x:v>126</x:v>
      </x:c>
      <x:c r="AX26" s="1" t="s">
        <x:v>160</x:v>
      </x:c>
      <x:c r="AY26" s="1" t="s">
        <x:v>138</x:v>
      </x:c>
      <x:c r="AZ26" s="1" t="s">
        <x:v>139</x:v>
      </x:c>
      <x:c r="BA26" s="1" t="s">
        <x:v>171</x:v>
      </x:c>
      <x:c r="BB26" s="1" t="s">
        <x:v>173</x:v>
      </x:c>
      <x:c r="BC26" s="1" t="s">
        <x:v>134</x:v>
      </x:c>
      <x:c r="BD26" s="1" t="s">
        <x:v>163</x:v>
      </x:c>
      <x:c r="BE26" s="11" t="n">
        <x:f>ROUND((((B26*2+C26+D26+E26+F26*2+G26+H26+I26)/10)+((J26*2+K26+L26+M26+N26*2+O26+P26+Q26)/10)*2)/3,2)</x:f>
        <x:v>6.23</x:v>
      </x:c>
      <x:c r="BF26" s="11" t="n">
        <x:f>ROUND((((R26*2+S26+T26+U26+V26*2+W26+X26+Y26)/10)+((Z26*2+AA26+AB26+AC26+AD26*2+AE26+AF26+AG26)/10)*2)/3,2)</x:f>
        <x:v>5.94</x:v>
      </x:c>
      <x:c r="BG26" s="11" t="n">
        <x:f>ROUND((((AH26*2+AI26+AJ26+AK26+AL26*2+AM26+AN26+AO26)/10)+((AP26*2+AQ26+AR26+AS26+AT26*2+AU26+AV26+AW26)/10)*2)/3,2)</x:f>
        <x:v>6.51</x:v>
      </x:c>
      <x:c r="BH26" s="13" t="str">
        <x:f>IF(BE26&lt;5,"Y",IF(BE26&lt;6.5,"TB",IF(BE26&lt;8,"K",IF(BE26&lt;9,"G","XS"))))</x:f>
        <x:v>TB</x:v>
      </x:c>
      <x:c r="BI26" s="13" t="str">
        <x:f>IF(BF26&lt;5,"Y",IF(BF26&lt;6.5,"TB",IF(BF26&lt;8,"K",IF(BF26&lt;9,"G","XS"))))</x:f>
        <x:v>TB</x:v>
      </x:c>
      <x:c r="BJ26" s="13" t="str">
        <x:f>IF(BG26&lt;5,"Y",IF(BG26&lt;6.5,"TB",IF(BG26&lt;8,"K",IF(BG26&lt;9,"G","XS"))))</x:f>
        <x:v>K</x:v>
      </x:c>
      <x:c r="BK26" s="11" t="n">
        <x:f>ROUND((BE26/10)*4,2)</x:f>
        <x:v>2.49</x:v>
      </x:c>
      <x:c r="BL26" s="11" t="n">
        <x:f>ROUND((BF26/10)*4,2)</x:f>
        <x:v>2.38</x:v>
      </x:c>
      <x:c r="BM26" s="11" t="n">
        <x:f>ROUND((BG26/10)*4,2)</x:f>
        <x:v>2.6</x:v>
      </x:c>
      <x:c r="BN26" s="13" t="n">
        <x:f>IF(IF(OR(BD26="A",BD26="A1"),(BA26*2+BB26+BC26)/4,IF(BD26="B",(BA26+BB26*2+BC26)/4,(BA26+BB26+BC26)/3))&gt;=5,1,0)</x:f>
        <x:v>1</x:v>
      </x:c>
    </x:row>
    <x:row r="27">
      <x:c r="A27" s="1" t="s">
        <x:v>210</x:v>
      </x:c>
      <x:c r="B27" s="1" t="s">
        <x:v>211</x:v>
      </x:c>
      <x:c r="C27" s="1" t="s">
        <x:v>169</x:v>
      </x:c>
      <x:c r="D27" s="1" t="s">
        <x:v>212</x:v>
      </x:c>
      <x:c r="E27" s="1" t="s">
        <x:v>118</x:v>
      </x:c>
      <x:c r="F27" s="1" t="s">
        <x:v>130</x:v>
      </x:c>
      <x:c r="G27" s="1" t="s">
        <x:v>131</x:v>
      </x:c>
      <x:c r="H27" s="1" t="s">
        <x:v>155</x:v>
      </x:c>
      <x:c r="I27" s="1" t="s">
        <x:v>195</x:v>
      </x:c>
      <x:c r="J27" s="1" t="s">
        <x:v>213</x:v>
      </x:c>
      <x:c r="K27" s="1" t="s">
        <x:v>133</x:v>
      </x:c>
      <x:c r="L27" s="1" t="s">
        <x:v>155</x:v>
      </x:c>
      <x:c r="M27" s="1" t="s">
        <x:v>147</x:v>
      </x:c>
      <x:c r="N27" s="1" t="s">
        <x:v>133</x:v>
      </x:c>
      <x:c r="O27" s="1" t="s">
        <x:v>141</x:v>
      </x:c>
      <x:c r="P27" s="1" t="s">
        <x:v>131</x:v>
      </x:c>
      <x:c r="Q27" s="1" t="s">
        <x:v>170</x:v>
      </x:c>
      <x:c r="R27" s="1" t="s">
        <x:v>145</x:v>
      </x:c>
      <x:c r="S27" s="1" t="s">
        <x:v>158</x:v>
      </x:c>
      <x:c r="T27" s="1" t="s">
        <x:v>158</x:v>
      </x:c>
      <x:c r="U27" s="1" t="s">
        <x:v>127</x:v>
      </x:c>
      <x:c r="V27" s="1" t="s">
        <x:v>133</x:v>
      </x:c>
      <x:c r="W27" s="1" t="s">
        <x:v>177</x:v>
      </x:c>
      <x:c r="X27" s="1" t="s">
        <x:v>156</x:v>
      </x:c>
      <x:c r="Y27" s="1" t="s">
        <x:v>150</x:v>
      </x:c>
      <x:c r="Z27" s="1" t="s">
        <x:v>213</x:v>
      </x:c>
      <x:c r="AA27" s="1" t="s">
        <x:v>147</x:v>
      </x:c>
      <x:c r="AB27" s="1" t="s">
        <x:v>131</x:v>
      </x:c>
      <x:c r="AC27" s="1" t="s">
        <x:v>127</x:v>
      </x:c>
      <x:c r="AD27" s="1" t="s">
        <x:v>113</x:v>
      </x:c>
      <x:c r="AE27" s="1" t="s">
        <x:v>114</x:v>
      </x:c>
      <x:c r="AF27" s="1" t="s">
        <x:v>132</x:v>
      </x:c>
      <x:c r="AG27" s="1" t="s">
        <x:v>212</x:v>
      </x:c>
      <x:c r="AH27" s="1" t="s">
        <x:v>154</x:v>
      </x:c>
      <x:c r="AI27" s="1" t="s">
        <x:v>134</x:v>
      </x:c>
      <x:c r="AJ27" s="1" t="s">
        <x:v>154</x:v>
      </x:c>
      <x:c r="AK27" s="1" t="s">
        <x:v>131</x:v>
      </x:c>
      <x:c r="AL27" s="1" t="s">
        <x:v>164</x:v>
      </x:c>
      <x:c r="AM27" s="1" t="s">
        <x:v>146</x:v>
      </x:c>
      <x:c r="AN27" s="1" t="s">
        <x:v>134</x:v>
      </x:c>
      <x:c r="AO27" s="1" t="s">
        <x:v>126</x:v>
      </x:c>
      <x:c r="AP27" s="1" t="s">
        <x:v>152</x:v>
      </x:c>
      <x:c r="AQ27" s="1" t="s">
        <x:v>115</x:v>
      </x:c>
      <x:c r="AR27" s="1" t="s">
        <x:v>141</x:v>
      </x:c>
      <x:c r="AS27" s="1" t="s">
        <x:v>123</x:v>
      </x:c>
      <x:c r="AT27" s="1" t="s">
        <x:v>129</x:v>
      </x:c>
      <x:c r="AU27" s="1" t="s">
        <x:v>169</x:v>
      </x:c>
      <x:c r="AV27" s="1" t="s">
        <x:v>133</x:v>
      </x:c>
      <x:c r="AW27" s="1" t="s">
        <x:v>156</x:v>
      </x:c>
      <x:c r="AX27" s="1" t="s">
        <x:v>137</x:v>
      </x:c>
      <x:c r="AY27" s="1" t="s">
        <x:v>138</x:v>
      </x:c>
      <x:c r="AZ27" s="1" t="s">
        <x:v>112</x:v>
      </x:c>
      <x:c r="BA27" s="1" t="s">
        <x:v>116</x:v>
      </x:c>
      <x:c r="BB27" s="1" t="s">
        <x:v>214</x:v>
      </x:c>
      <x:c r="BC27" s="1" t="s">
        <x:v>173</x:v>
      </x:c>
      <x:c r="BD27" s="1" t="s">
        <x:v>163</x:v>
      </x:c>
      <x:c r="BE27" s="11" t="n">
        <x:f>ROUND((((B27*2+C27+D27+E27+F27*2+G27+H27+I27)/10)+((J27*2+K27+L27+M27+N27*2+O27+P27+Q27)/10)*2)/3,2)</x:f>
        <x:v>4.74</x:v>
      </x:c>
      <x:c r="BF27" s="11" t="n">
        <x:f>ROUND((((R27*2+S27+T27+U27+V27*2+W27+X27+Y27)/10)+((Z27*2+AA27+AB27+AC27+AD27*2+AE27+AF27+AG27)/10)*2)/3,2)</x:f>
        <x:v>5.49</x:v>
      </x:c>
      <x:c r="BG27" s="11" t="n">
        <x:f>ROUND((((AH27*2+AI27+AJ27+AK27+AL27*2+AM27+AN27+AO27)/10)+((AP27*2+AQ27+AR27+AS27+AT27*2+AU27+AV27+AW27)/10)*2)/3,2)</x:f>
        <x:v>5.33</x:v>
      </x:c>
      <x:c r="BH27" s="13" t="str">
        <x:f>IF(BE27&lt;5,"Y",IF(BE27&lt;6.5,"TB",IF(BE27&lt;8,"K",IF(BE27&lt;9,"G","XS"))))</x:f>
        <x:v>Y</x:v>
      </x:c>
      <x:c r="BI27" s="13" t="str">
        <x:f>IF(BF27&lt;5,"Y",IF(BF27&lt;6.5,"TB",IF(BF27&lt;8,"K",IF(BF27&lt;9,"G","XS"))))</x:f>
        <x:v>TB</x:v>
      </x:c>
      <x:c r="BJ27" s="13" t="str">
        <x:f>IF(BG27&lt;5,"Y",IF(BG27&lt;6.5,"TB",IF(BG27&lt;8,"K",IF(BG27&lt;9,"G","XS"))))</x:f>
        <x:v>TB</x:v>
      </x:c>
      <x:c r="BK27" s="11" t="n">
        <x:f>ROUND((BE27/10)*4,2)</x:f>
        <x:v>1.9</x:v>
      </x:c>
      <x:c r="BL27" s="11" t="n">
        <x:f>ROUND((BF27/10)*4,2)</x:f>
        <x:v>2.2</x:v>
      </x:c>
      <x:c r="BM27" s="11" t="n">
        <x:f>ROUND((BG27/10)*4,2)</x:f>
        <x:v>2.13</x:v>
      </x:c>
      <x:c r="BN27" s="13" t="n">
        <x:f>IF(IF(OR(BD27="A",BD27="A1"),(BA27*2+BB27+BC27)/4,IF(BD27="B",(BA27+BB27*2+BC27)/4,(BA27+BB27+BC27)/3))&gt;=5,1,0)</x:f>
        <x:v>0</x:v>
      </x:c>
    </x:row>
    <x:row r="28">
      <x:c r="A28" s="1" t="s">
        <x:v>215</x:v>
      </x:c>
      <x:c r="B28" s="1" t="s">
        <x:v>212</x:v>
      </x:c>
      <x:c r="C28" s="1" t="s">
        <x:v>121</x:v>
      </x:c>
      <x:c r="D28" s="1" t="s">
        <x:v>127</x:v>
      </x:c>
      <x:c r="E28" s="1" t="s">
        <x:v>132</x:v>
      </x:c>
      <x:c r="F28" s="1" t="s">
        <x:v>118</x:v>
      </x:c>
      <x:c r="G28" s="1" t="s">
        <x:v>113</x:v>
      </x:c>
      <x:c r="H28" s="1" t="s">
        <x:v>118</x:v>
      </x:c>
      <x:c r="I28" s="1" t="s">
        <x:v>151</x:v>
      </x:c>
      <x:c r="J28" s="1" t="s">
        <x:v>195</x:v>
      </x:c>
      <x:c r="K28" s="1" t="s">
        <x:v>144</x:v>
      </x:c>
      <x:c r="L28" s="1" t="s">
        <x:v>135</x:v>
      </x:c>
      <x:c r="M28" s="1" t="s">
        <x:v>118</x:v>
      </x:c>
      <x:c r="N28" s="1" t="s">
        <x:v>121</x:v>
      </x:c>
      <x:c r="O28" s="1" t="s">
        <x:v>134</x:v>
      </x:c>
      <x:c r="P28" s="1" t="s">
        <x:v>147</x:v>
      </x:c>
      <x:c r="Q28" s="1" t="s">
        <x:v>151</x:v>
      </x:c>
      <x:c r="R28" s="1" t="s">
        <x:v>195</x:v>
      </x:c>
      <x:c r="S28" s="1" t="s">
        <x:v>141</x:v>
      </x:c>
      <x:c r="T28" s="1" t="s">
        <x:v>147</x:v>
      </x:c>
      <x:c r="U28" s="1" t="s">
        <x:v>134</x:v>
      </x:c>
      <x:c r="V28" s="1" t="s">
        <x:v>131</x:v>
      </x:c>
      <x:c r="W28" s="1" t="s">
        <x:v>168</x:v>
      </x:c>
      <x:c r="X28" s="1" t="s">
        <x:v>147</x:v>
      </x:c>
      <x:c r="Y28" s="1" t="s">
        <x:v>169</x:v>
      </x:c>
      <x:c r="Z28" s="1" t="s">
        <x:v>170</x:v>
      </x:c>
      <x:c r="AA28" s="1" t="s">
        <x:v>170</x:v>
      </x:c>
      <x:c r="AB28" s="1" t="s">
        <x:v>150</x:v>
      </x:c>
      <x:c r="AC28" s="1" t="s">
        <x:v>158</x:v>
      </x:c>
      <x:c r="AD28" s="1" t="s">
        <x:v>144</x:v>
      </x:c>
      <x:c r="AE28" s="1" t="s">
        <x:v>169</x:v>
      </x:c>
      <x:c r="AF28" s="1" t="s">
        <x:v>115</x:v>
      </x:c>
      <x:c r="AG28" s="1" t="s">
        <x:v>131</x:v>
      </x:c>
      <x:c r="AH28" s="1" t="s">
        <x:v>121</x:v>
      </x:c>
      <x:c r="AI28" s="1" t="s">
        <x:v>155</x:v>
      </x:c>
      <x:c r="AJ28" s="1" t="s">
        <x:v>170</x:v>
      </x:c>
      <x:c r="AK28" s="1" t="s">
        <x:v>115</x:v>
      </x:c>
      <x:c r="AL28" s="1" t="s">
        <x:v>170</x:v>
      </x:c>
      <x:c r="AM28" s="1" t="s">
        <x:v>216</x:v>
      </x:c>
      <x:c r="AN28" s="1" t="s">
        <x:v>154</x:v>
      </x:c>
      <x:c r="AO28" s="1" t="s">
        <x:v>134</x:v>
      </x:c>
      <x:c r="AP28" s="1" t="s">
        <x:v>153</x:v>
      </x:c>
      <x:c r="AQ28" s="1" t="s">
        <x:v>141</x:v>
      </x:c>
      <x:c r="AR28" s="1" t="s">
        <x:v>133</x:v>
      </x:c>
      <x:c r="AS28" s="1" t="s">
        <x:v>118</x:v>
      </x:c>
      <x:c r="AT28" s="1" t="s">
        <x:v>131</x:v>
      </x:c>
      <x:c r="AU28" s="1" t="s">
        <x:v>130</x:v>
      </x:c>
      <x:c r="AV28" s="1" t="s">
        <x:v>115</x:v>
      </x:c>
      <x:c r="AW28" s="1" t="s">
        <x:v>154</x:v>
      </x:c>
      <x:c r="AX28" s="1" t="s">
        <x:v>137</x:v>
      </x:c>
      <x:c r="AY28" s="1" t="s">
        <x:v>138</x:v>
      </x:c>
      <x:c r="AZ28" s="1" t="s">
        <x:v>112</x:v>
      </x:c>
      <x:c r="BA28" s="1" t="s">
        <x:v>190</x:v>
      </x:c>
      <x:c r="BB28" s="1" t="s">
        <x:v>143</x:v>
      </x:c>
      <x:c r="BC28" s="1" t="s">
        <x:v>118</x:v>
      </x:c>
      <x:c r="BD28" s="1" t="s">
        <x:v>163</x:v>
      </x:c>
      <x:c r="BE28" s="11" t="n">
        <x:f>ROUND((((B28*2+C28+D28+E28+F28*2+G28+H28+I28)/10)+((J28*2+K28+L28+M28+N28*2+O28+P28+Q28)/10)*2)/3,2)</x:f>
        <x:v>5.27</x:v>
      </x:c>
      <x:c r="BF28" s="11" t="n">
        <x:f>ROUND((((R28*2+S28+T28+U28+V28*2+W28+X28+Y28)/10)+((Z28*2+AA28+AB28+AC28+AD28*2+AE28+AF28+AG28)/10)*2)/3,2)</x:f>
        <x:v>5.04</x:v>
      </x:c>
      <x:c r="BG28" s="11" t="n">
        <x:f>ROUND((((AH28*2+AI28+AJ28+AK28+AL28*2+AM28+AN28+AO28)/10)+((AP28*2+AQ28+AR28+AS28+AT28*2+AU28+AV28+AW28)/10)*2)/3,2)</x:f>
        <x:v>5.04</x:v>
      </x:c>
      <x:c r="BH28" s="13" t="str">
        <x:f>IF(BE28&lt;5,"Y",IF(BE28&lt;6.5,"TB",IF(BE28&lt;8,"K",IF(BE28&lt;9,"G","XS"))))</x:f>
        <x:v>TB</x:v>
      </x:c>
      <x:c r="BI28" s="13" t="str">
        <x:f>IF(BF28&lt;5,"Y",IF(BF28&lt;6.5,"TB",IF(BF28&lt;8,"K",IF(BF28&lt;9,"G","XS"))))</x:f>
        <x:v>TB</x:v>
      </x:c>
      <x:c r="BJ28" s="13" t="str">
        <x:f>IF(BG28&lt;5,"Y",IF(BG28&lt;6.5,"TB",IF(BG28&lt;8,"K",IF(BG28&lt;9,"G","XS"))))</x:f>
        <x:v>TB</x:v>
      </x:c>
      <x:c r="BK28" s="11" t="n">
        <x:f>ROUND((BE28/10)*4,2)</x:f>
        <x:v>2.11</x:v>
      </x:c>
      <x:c r="BL28" s="11" t="n">
        <x:f>ROUND((BF28/10)*4,2)</x:f>
        <x:v>2.02</x:v>
      </x:c>
      <x:c r="BM28" s="11" t="n">
        <x:f>ROUND((BG28/10)*4,2)</x:f>
        <x:v>2.02</x:v>
      </x:c>
      <x:c r="BN28" s="13" t="n">
        <x:f>IF(IF(OR(BD28="A",BD28="A1"),(BA28*2+BB28+BC28)/4,IF(BD28="B",(BA28+BB28*2+BC28)/4,(BA28+BB28+BC28)/3))&gt;=5,1,0)</x:f>
        <x:v>0</x:v>
      </x:c>
    </x:row>
    <x:row r="29">
      <x:c r="A29" s="1" t="s">
        <x:v>217</x:v>
      </x:c>
      <x:c r="B29" s="1" t="s">
        <x:v>155</x:v>
      </x:c>
      <x:c r="C29" s="1" t="s">
        <x:v>170</x:v>
      </x:c>
      <x:c r="D29" s="1" t="s">
        <x:v>134</x:v>
      </x:c>
      <x:c r="E29" s="1" t="s">
        <x:v>144</x:v>
      </x:c>
      <x:c r="F29" s="1" t="s">
        <x:v>126</x:v>
      </x:c>
      <x:c r="G29" s="1" t="s">
        <x:v>147</x:v>
      </x:c>
      <x:c r="H29" s="1" t="s">
        <x:v>135</x:v>
      </x:c>
      <x:c r="I29" s="1" t="s">
        <x:v>154</x:v>
      </x:c>
      <x:c r="J29" s="1" t="s">
        <x:v>130</x:v>
      </x:c>
      <x:c r="K29" s="1" t="s">
        <x:v>144</x:v>
      </x:c>
      <x:c r="L29" s="1" t="s">
        <x:v>126</x:v>
      </x:c>
      <x:c r="M29" s="1" t="s">
        <x:v>118</x:v>
      </x:c>
      <x:c r="N29" s="1" t="s">
        <x:v>130</x:v>
      </x:c>
      <x:c r="O29" s="1" t="s">
        <x:v>155</x:v>
      </x:c>
      <x:c r="P29" s="1" t="s">
        <x:v>168</x:v>
      </x:c>
      <x:c r="Q29" s="1" t="s">
        <x:v>153</x:v>
      </x:c>
      <x:c r="R29" s="1" t="s">
        <x:v>155</x:v>
      </x:c>
      <x:c r="S29" s="1" t="s">
        <x:v>141</x:v>
      </x:c>
      <x:c r="T29" s="1" t="s">
        <x:v>118</x:v>
      </x:c>
      <x:c r="U29" s="1" t="s">
        <x:v>164</x:v>
      </x:c>
      <x:c r="V29" s="1" t="s">
        <x:v>166</x:v>
      </x:c>
      <x:c r="W29" s="1" t="s">
        <x:v>125</x:v>
      </x:c>
      <x:c r="X29" s="1" t="s">
        <x:v>165</x:v>
      </x:c>
      <x:c r="Y29" s="1" t="s">
        <x:v>195</x:v>
      </x:c>
      <x:c r="Z29" s="1" t="s">
        <x:v>161</x:v>
      </x:c>
      <x:c r="AA29" s="1" t="s">
        <x:v>121</x:v>
      </x:c>
      <x:c r="AB29" s="1" t="s">
        <x:v>156</x:v>
      </x:c>
      <x:c r="AC29" s="1" t="s">
        <x:v>122</x:v>
      </x:c>
      <x:c r="AD29" s="1" t="s">
        <x:v>113</x:v>
      </x:c>
      <x:c r="AE29" s="1" t="s">
        <x:v>156</x:v>
      </x:c>
      <x:c r="AF29" s="1" t="s">
        <x:v>147</x:v>
      </x:c>
      <x:c r="AG29" s="1" t="s">
        <x:v>133</x:v>
      </x:c>
      <x:c r="AH29" s="1" t="s">
        <x:v>132</x:v>
      </x:c>
      <x:c r="AI29" s="1" t="s">
        <x:v>174</x:v>
      </x:c>
      <x:c r="AJ29" s="1" t="s">
        <x:v>177</x:v>
      </x:c>
      <x:c r="AK29" s="1" t="s">
        <x:v>168</x:v>
      </x:c>
      <x:c r="AL29" s="1" t="s">
        <x:v>159</x:v>
      </x:c>
      <x:c r="AM29" s="1" t="s">
        <x:v>144</x:v>
      </x:c>
      <x:c r="AN29" s="1" t="s">
        <x:v>175</x:v>
      </x:c>
      <x:c r="AO29" s="1" t="s">
        <x:v>170</x:v>
      </x:c>
      <x:c r="AP29" s="1" t="s">
        <x:v>164</x:v>
      </x:c>
      <x:c r="AQ29" s="1" t="s">
        <x:v>165</x:v>
      </x:c>
      <x:c r="AR29" s="1" t="s">
        <x:v>128</x:v>
      </x:c>
      <x:c r="AS29" s="1" t="s">
        <x:v>116</x:v>
      </x:c>
      <x:c r="AT29" s="1" t="s">
        <x:v>128</x:v>
      </x:c>
      <x:c r="AU29" s="1" t="s">
        <x:v>136</x:v>
      </x:c>
      <x:c r="AV29" s="1" t="s">
        <x:v>164</x:v>
      </x:c>
      <x:c r="AW29" s="1" t="s">
        <x:v>118</x:v>
      </x:c>
      <x:c r="AX29" s="1" t="s">
        <x:v>137</x:v>
      </x:c>
      <x:c r="AY29" s="1" t="s">
        <x:v>138</x:v>
      </x:c>
      <x:c r="AZ29" s="1" t="s">
        <x:v>112</x:v>
      </x:c>
      <x:c r="BA29" s="1" t="s">
        <x:v>173</x:v>
      </x:c>
      <x:c r="BB29" s="1" t="s">
        <x:v>141</x:v>
      </x:c>
      <x:c r="BC29" s="1" t="s">
        <x:v>190</x:v>
      </x:c>
      <x:c r="BD29" s="1" t="s">
        <x:v>163</x:v>
      </x:c>
      <x:c r="BE29" s="11" t="n">
        <x:f>ROUND((((B29*2+C29+D29+E29+F29*2+G29+H29+I29)/10)+((J29*2+K29+L29+M29+N29*2+O29+P29+Q29)/10)*2)/3,2)</x:f>
        <x:v>5.37</x:v>
      </x:c>
      <x:c r="BF29" s="11" t="n">
        <x:f>ROUND((((R29*2+S29+T29+U29+V29*2+W29+X29+Y29)/10)+((Z29*2+AA29+AB29+AC29+AD29*2+AE29+AF29+AG29)/10)*2)/3,2)</x:f>
        <x:v>6.1</x:v>
      </x:c>
      <x:c r="BG29" s="11" t="n">
        <x:f>ROUND((((AH29*2+AI29+AJ29+AK29+AL29*2+AM29+AN29+AO29)/10)+((AP29*2+AQ29+AR29+AS29+AT29*2+AU29+AV29+AW29)/10)*2)/3,2)</x:f>
        <x:v>7.03</x:v>
      </x:c>
      <x:c r="BH29" s="13" t="str">
        <x:f>IF(BE29&lt;5,"Y",IF(BE29&lt;6.5,"TB",IF(BE29&lt;8,"K",IF(BE29&lt;9,"G","XS"))))</x:f>
        <x:v>TB</x:v>
      </x:c>
      <x:c r="BI29" s="13" t="str">
        <x:f>IF(BF29&lt;5,"Y",IF(BF29&lt;6.5,"TB",IF(BF29&lt;8,"K",IF(BF29&lt;9,"G","XS"))))</x:f>
        <x:v>TB</x:v>
      </x:c>
      <x:c r="BJ29" s="13" t="str">
        <x:f>IF(BG29&lt;5,"Y",IF(BG29&lt;6.5,"TB",IF(BG29&lt;8,"K",IF(BG29&lt;9,"G","XS"))))</x:f>
        <x:v>K</x:v>
      </x:c>
      <x:c r="BK29" s="11" t="n">
        <x:f>ROUND((BE29/10)*4,2)</x:f>
        <x:v>2.15</x:v>
      </x:c>
      <x:c r="BL29" s="11" t="n">
        <x:f>ROUND((BF29/10)*4,2)</x:f>
        <x:v>2.44</x:v>
      </x:c>
      <x:c r="BM29" s="11" t="n">
        <x:f>ROUND((BG29/10)*4,2)</x:f>
        <x:v>2.81</x:v>
      </x:c>
      <x:c r="BN29" s="13" t="n">
        <x:f>IF(IF(OR(BD29="A",BD29="A1"),(BA29*2+BB29+BC29)/4,IF(BD29="B",(BA29+BB29*2+BC29)/4,(BA29+BB29+BC29)/3))&gt;=5,1,0)</x:f>
        <x:v>0</x:v>
      </x:c>
    </x:row>
    <x:row r="30">
      <x:c r="A30" s="1" t="s">
        <x:v>218</x:v>
      </x:c>
      <x:c r="B30" s="1" t="s">
        <x:v>128</x:v>
      </x:c>
      <x:c r="C30" s="1" t="s">
        <x:v>118</x:v>
      </x:c>
      <x:c r="D30" s="1" t="s">
        <x:v>156</x:v>
      </x:c>
      <x:c r="E30" s="1" t="s">
        <x:v>131</x:v>
      </x:c>
      <x:c r="F30" s="1" t="s">
        <x:v>166</x:v>
      </x:c>
      <x:c r="G30" s="1" t="s">
        <x:v>166</x:v>
      </x:c>
      <x:c r="H30" s="1" t="s">
        <x:v>123</x:v>
      </x:c>
      <x:c r="I30" s="1" t="s">
        <x:v>170</x:v>
      </x:c>
      <x:c r="J30" s="1" t="s">
        <x:v>154</x:v>
      </x:c>
      <x:c r="K30" s="1" t="s">
        <x:v>150</x:v>
      </x:c>
      <x:c r="L30" s="1" t="s">
        <x:v>126</x:v>
      </x:c>
      <x:c r="M30" s="1" t="s">
        <x:v>123</x:v>
      </x:c>
      <x:c r="N30" s="1" t="s">
        <x:v>135</x:v>
      </x:c>
      <x:c r="O30" s="1" t="s">
        <x:v>121</x:v>
      </x:c>
      <x:c r="P30" s="1" t="s">
        <x:v>132</x:v>
      </x:c>
      <x:c r="Q30" s="1" t="s">
        <x:v>170</x:v>
      </x:c>
      <x:c r="R30" s="1" t="s">
        <x:v>134</x:v>
      </x:c>
      <x:c r="S30" s="1" t="s">
        <x:v>166</x:v>
      </x:c>
      <x:c r="T30" s="1" t="s">
        <x:v>154</x:v>
      </x:c>
      <x:c r="U30" s="1" t="s">
        <x:v>115</x:v>
      </x:c>
      <x:c r="V30" s="1" t="s">
        <x:v>154</x:v>
      </x:c>
      <x:c r="W30" s="1" t="s">
        <x:v>126</x:v>
      </x:c>
      <x:c r="X30" s="1" t="s">
        <x:v>123</x:v>
      </x:c>
      <x:c r="Y30" s="1" t="s">
        <x:v>133</x:v>
      </x:c>
      <x:c r="Z30" s="1" t="s">
        <x:v>219</x:v>
      </x:c>
      <x:c r="AA30" s="1" t="s">
        <x:v>126</x:v>
      </x:c>
      <x:c r="AB30" s="1" t="s">
        <x:v>195</x:v>
      </x:c>
      <x:c r="AC30" s="1" t="s">
        <x:v>130</x:v>
      </x:c>
      <x:c r="AD30" s="1" t="s">
        <x:v>134</x:v>
      </x:c>
      <x:c r="AE30" s="1" t="s">
        <x:v>121</x:v>
      </x:c>
      <x:c r="AF30" s="1" t="s">
        <x:v>125</x:v>
      </x:c>
      <x:c r="AG30" s="1" t="s">
        <x:v>147</x:v>
      </x:c>
      <x:c r="AH30" s="1" t="s">
        <x:v>121</x:v>
      </x:c>
      <x:c r="AI30" s="1" t="s">
        <x:v>126</x:v>
      </x:c>
      <x:c r="AJ30" s="1" t="s">
        <x:v>161</x:v>
      </x:c>
      <x:c r="AK30" s="1" t="s">
        <x:v>166</x:v>
      </x:c>
      <x:c r="AL30" s="1" t="s">
        <x:v>166</x:v>
      </x:c>
      <x:c r="AM30" s="1" t="s">
        <x:v>164</x:v>
      </x:c>
      <x:c r="AN30" s="1" t="s">
        <x:v>130</x:v>
      </x:c>
      <x:c r="AO30" s="1" t="s">
        <x:v>134</x:v>
      </x:c>
      <x:c r="AP30" s="1" t="s">
        <x:v>131</x:v>
      </x:c>
      <x:c r="AQ30" s="1" t="s">
        <x:v>166</x:v>
      </x:c>
      <x:c r="AR30" s="1" t="s">
        <x:v>168</x:v>
      </x:c>
      <x:c r="AS30" s="1" t="s">
        <x:v>168</x:v>
      </x:c>
      <x:c r="AT30" s="1" t="s">
        <x:v>114</x:v>
      </x:c>
      <x:c r="AU30" s="1" t="s">
        <x:v>168</x:v>
      </x:c>
      <x:c r="AV30" s="1" t="s">
        <x:v>115</x:v>
      </x:c>
      <x:c r="AW30" s="1" t="s">
        <x:v>156</x:v>
      </x:c>
      <x:c r="AX30" s="1" t="s">
        <x:v>137</x:v>
      </x:c>
      <x:c r="AY30" s="1" t="s">
        <x:v>138</x:v>
      </x:c>
      <x:c r="AZ30" s="1" t="s">
        <x:v>139</x:v>
      </x:c>
      <x:c r="BA30" s="1" t="s">
        <x:v>173</x:v>
      </x:c>
      <x:c r="BB30" s="1" t="s">
        <x:v>134</x:v>
      </x:c>
      <x:c r="BC30" s="1" t="s">
        <x:v>162</x:v>
      </x:c>
      <x:c r="BD30" s="1" t="s">
        <x:v>163</x:v>
      </x:c>
      <x:c r="BE30" s="11" t="n">
        <x:f>ROUND((((B30*2+C30+D30+E30+F30*2+G30+H30+I30)/10)+((J30*2+K30+L30+M30+N30*2+O30+P30+Q30)/10)*2)/3,2)</x:f>
        <x:v>5.75</x:v>
      </x:c>
      <x:c r="BF30" s="11" t="n">
        <x:f>ROUND((((R30*2+S30+T30+U30+V30*2+W30+X30+Y30)/10)+((Z30*2+AA30+AB30+AC30+AD30*2+AE30+AF30+AG30)/10)*2)/3,2)</x:f>
        <x:v>5.08</x:v>
      </x:c>
      <x:c r="BG30" s="11" t="n">
        <x:f>ROUND((((AH30*2+AI30+AJ30+AK30+AL30*2+AM30+AN30+AO30)/10)+((AP30*2+AQ30+AR30+AS30+AT30*2+AU30+AV30+AW30)/10)*2)/3,2)</x:f>
        <x:v>6.14</x:v>
      </x:c>
      <x:c r="BH30" s="13" t="str">
        <x:f>IF(BE30&lt;5,"Y",IF(BE30&lt;6.5,"TB",IF(BE30&lt;8,"K",IF(BE30&lt;9,"G","XS"))))</x:f>
        <x:v>TB</x:v>
      </x:c>
      <x:c r="BI30" s="13" t="str">
        <x:f>IF(BF30&lt;5,"Y",IF(BF30&lt;6.5,"TB",IF(BF30&lt;8,"K",IF(BF30&lt;9,"G","XS"))))</x:f>
        <x:v>TB</x:v>
      </x:c>
      <x:c r="BJ30" s="13" t="str">
        <x:f>IF(BG30&lt;5,"Y",IF(BG30&lt;6.5,"TB",IF(BG30&lt;8,"K",IF(BG30&lt;9,"G","XS"))))</x:f>
        <x:v>TB</x:v>
      </x:c>
      <x:c r="BK30" s="11" t="n">
        <x:f>ROUND((BE30/10)*4,2)</x:f>
        <x:v>2.3</x:v>
      </x:c>
      <x:c r="BL30" s="11" t="n">
        <x:f>ROUND((BF30/10)*4,2)</x:f>
        <x:v>2.03</x:v>
      </x:c>
      <x:c r="BM30" s="11" t="n">
        <x:f>ROUND((BG30/10)*4,2)</x:f>
        <x:v>2.46</x:v>
      </x:c>
      <x:c r="BN30" s="13" t="n">
        <x:f>IF(IF(OR(BD30="A",BD30="A1"),(BA30*2+BB30+BC30)/4,IF(BD30="B",(BA30+BB30*2+BC30)/4,(BA30+BB30+BC30)/3))&gt;=5,1,0)</x:f>
        <x:v>0</x:v>
      </x:c>
    </x:row>
    <x:row r="31">
      <x:c r="A31" s="1" t="s">
        <x:v>220</x:v>
      </x:c>
      <x:c r="B31" s="1" t="s">
        <x:v>115</x:v>
      </x:c>
      <x:c r="C31" s="1" t="s">
        <x:v>168</x:v>
      </x:c>
      <x:c r="D31" s="1" t="s">
        <x:v>123</x:v>
      </x:c>
      <x:c r="E31" s="1" t="s">
        <x:v>159</x:v>
      </x:c>
      <x:c r="F31" s="1" t="s">
        <x:v>123</x:v>
      </x:c>
      <x:c r="G31" s="1" t="s">
        <x:v>128</x:v>
      </x:c>
      <x:c r="H31" s="1" t="s">
        <x:v>181</x:v>
      </x:c>
      <x:c r="I31" s="1" t="s">
        <x:v>141</x:v>
      </x:c>
      <x:c r="J31" s="1" t="s">
        <x:v>128</x:v>
      </x:c>
      <x:c r="K31" s="1" t="s">
        <x:v>155</x:v>
      </x:c>
      <x:c r="L31" s="1" t="s">
        <x:v>133</x:v>
      </x:c>
      <x:c r="M31" s="1" t="s">
        <x:v>155</x:v>
      </x:c>
      <x:c r="N31" s="1" t="s">
        <x:v>141</x:v>
      </x:c>
      <x:c r="O31" s="1" t="s">
        <x:v>177</x:v>
      </x:c>
      <x:c r="P31" s="1" t="s">
        <x:v>127</x:v>
      </x:c>
      <x:c r="Q31" s="1" t="s">
        <x:v>150</x:v>
      </x:c>
      <x:c r="R31" s="1" t="s">
        <x:v>133</x:v>
      </x:c>
      <x:c r="S31" s="1" t="s">
        <x:v>130</x:v>
      </x:c>
      <x:c r="T31" s="1" t="s">
        <x:v>151</x:v>
      </x:c>
      <x:c r="U31" s="1" t="s">
        <x:v>168</x:v>
      </x:c>
      <x:c r="V31" s="1" t="s">
        <x:v>118</x:v>
      </x:c>
      <x:c r="W31" s="1" t="s">
        <x:v>113</x:v>
      </x:c>
      <x:c r="X31" s="1" t="s">
        <x:v>123</x:v>
      </x:c>
      <x:c r="Y31" s="1" t="s">
        <x:v>158</x:v>
      </x:c>
      <x:c r="Z31" s="1" t="s">
        <x:v>114</x:v>
      </x:c>
      <x:c r="AA31" s="1" t="s">
        <x:v>151</x:v>
      </x:c>
      <x:c r="AB31" s="1" t="s">
        <x:v>146</x:v>
      </x:c>
      <x:c r="AC31" s="1" t="s">
        <x:v>129</x:v>
      </x:c>
      <x:c r="AD31" s="1" t="s">
        <x:v>144</x:v>
      </x:c>
      <x:c r="AE31" s="1" t="s">
        <x:v>124</x:v>
      </x:c>
      <x:c r="AF31" s="1" t="s">
        <x:v>135</x:v>
      </x:c>
      <x:c r="AG31" s="1" t="s">
        <x:v>150</x:v>
      </x:c>
      <x:c r="AH31" s="1" t="s">
        <x:v>175</x:v>
      </x:c>
      <x:c r="AI31" s="1" t="s">
        <x:v>159</x:v>
      </x:c>
      <x:c r="AJ31" s="1" t="s">
        <x:v>147</x:v>
      </x:c>
      <x:c r="AK31" s="1" t="s">
        <x:v>135</x:v>
      </x:c>
      <x:c r="AL31" s="1" t="s">
        <x:v>118</x:v>
      </x:c>
      <x:c r="AM31" s="1" t="s">
        <x:v>136</x:v>
      </x:c>
      <x:c r="AN31" s="1" t="s">
        <x:v>168</x:v>
      </x:c>
      <x:c r="AO31" s="1" t="s">
        <x:v>170</x:v>
      </x:c>
      <x:c r="AP31" s="1" t="s">
        <x:v>119</x:v>
      </x:c>
      <x:c r="AQ31" s="1" t="s">
        <x:v>123</x:v>
      </x:c>
      <x:c r="AR31" s="1" t="s">
        <x:v>132</x:v>
      </x:c>
      <x:c r="AS31" s="1" t="s">
        <x:v>113</x:v>
      </x:c>
      <x:c r="AT31" s="1" t="s">
        <x:v>130</x:v>
      </x:c>
      <x:c r="AU31" s="1" t="s">
        <x:v>185</x:v>
      </x:c>
      <x:c r="AV31" s="1" t="s">
        <x:v>164</x:v>
      </x:c>
      <x:c r="AW31" s="1" t="s">
        <x:v>144</x:v>
      </x:c>
      <x:c r="AX31" s="1" t="s">
        <x:v>160</x:v>
      </x:c>
      <x:c r="AY31" s="1" t="s">
        <x:v>138</x:v>
      </x:c>
      <x:c r="AZ31" s="1" t="s">
        <x:v>139</x:v>
      </x:c>
      <x:c r="BA31" s="1" t="s">
        <x:v>140</x:v>
      </x:c>
      <x:c r="BB31" s="1" t="s">
        <x:v>173</x:v>
      </x:c>
      <x:c r="BC31" s="1" t="s">
        <x:v>188</x:v>
      </x:c>
      <x:c r="BD31" s="1" t="s">
        <x:v>178</x:v>
      </x:c>
      <x:c r="BE31" s="11" t="n">
        <x:f>ROUND((((B31*2+C31+D31+E31+F31*2+G31+H31+I31)/10)+((J31*2+K31+L31+M31+N31*2+O31+P31+Q31)/10)*2)/3,2)</x:f>
        <x:v>6.22</x:v>
      </x:c>
      <x:c r="BF31" s="11" t="n">
        <x:f>ROUND((((R31*2+S31+T31+U31+V31*2+W31+X31+Y31)/10)+((Z31*2+AA31+AB31+AC31+AD31*2+AE31+AF31+AG31)/10)*2)/3,2)</x:f>
        <x:v>5.96</x:v>
      </x:c>
      <x:c r="BG31" s="11" t="n">
        <x:f>ROUND((((AH31*2+AI31+AJ31+AK31+AL31*2+AM31+AN31+AO31)/10)+((AP31*2+AQ31+AR31+AS31+AT31*2+AU31+AV31+AW31)/10)*2)/3,2)</x:f>
        <x:v>6.76</x:v>
      </x:c>
      <x:c r="BH31" s="13" t="str">
        <x:f>IF(BE31&lt;5,"Y",IF(BE31&lt;6.5,"TB",IF(BE31&lt;8,"K",IF(BE31&lt;9,"G","XS"))))</x:f>
        <x:v>TB</x:v>
      </x:c>
      <x:c r="BI31" s="13" t="str">
        <x:f>IF(BF31&lt;5,"Y",IF(BF31&lt;6.5,"TB",IF(BF31&lt;8,"K",IF(BF31&lt;9,"G","XS"))))</x:f>
        <x:v>TB</x:v>
      </x:c>
      <x:c r="BJ31" s="13" t="str">
        <x:f>IF(BG31&lt;5,"Y",IF(BG31&lt;6.5,"TB",IF(BG31&lt;8,"K",IF(BG31&lt;9,"G","XS"))))</x:f>
        <x:v>K</x:v>
      </x:c>
      <x:c r="BK31" s="11" t="n">
        <x:f>ROUND((BE31/10)*4,2)</x:f>
        <x:v>2.49</x:v>
      </x:c>
      <x:c r="BL31" s="11" t="n">
        <x:f>ROUND((BF31/10)*4,2)</x:f>
        <x:v>2.38</x:v>
      </x:c>
      <x:c r="BM31" s="11" t="n">
        <x:f>ROUND((BG31/10)*4,2)</x:f>
        <x:v>2.7</x:v>
      </x:c>
      <x:c r="BN31" s="13" t="n">
        <x:f>IF(IF(OR(BD31="A",BD31="A1"),(BA31*2+BB31+BC31)/4,IF(BD31="B",(BA31+BB31*2+BC31)/4,(BA31+BB31+BC31)/3))&gt;=5,1,0)</x:f>
        <x:v>0</x:v>
      </x:c>
    </x:row>
    <x:row r="32">
      <x:c r="A32" s="1" t="s">
        <x:v>221</x:v>
      </x:c>
      <x:c r="B32" s="1" t="s">
        <x:v>141</x:v>
      </x:c>
      <x:c r="C32" s="1" t="s">
        <x:v>152</x:v>
      </x:c>
      <x:c r="D32" s="1" t="s">
        <x:v>170</x:v>
      </x:c>
      <x:c r="E32" s="1" t="s">
        <x:v>130</x:v>
      </x:c>
      <x:c r="F32" s="1" t="s">
        <x:v>151</x:v>
      </x:c>
      <x:c r="G32" s="1" t="s">
        <x:v>166</x:v>
      </x:c>
      <x:c r="H32" s="1" t="s">
        <x:v>126</x:v>
      </x:c>
      <x:c r="I32" s="1" t="s">
        <x:v>132</x:v>
      </x:c>
      <x:c r="J32" s="1" t="s">
        <x:v>118</x:v>
      </x:c>
      <x:c r="K32" s="1" t="s">
        <x:v>121</x:v>
      </x:c>
      <x:c r="L32" s="1" t="s">
        <x:v>156</x:v>
      </x:c>
      <x:c r="M32" s="1" t="s">
        <x:v>159</x:v>
      </x:c>
      <x:c r="N32" s="1" t="s">
        <x:v>150</x:v>
      </x:c>
      <x:c r="O32" s="1" t="s">
        <x:v>132</x:v>
      </x:c>
      <x:c r="P32" s="1" t="s">
        <x:v>121</x:v>
      </x:c>
      <x:c r="Q32" s="1" t="s">
        <x:v>147</x:v>
      </x:c>
      <x:c r="R32" s="1" t="s">
        <x:v>164</x:v>
      </x:c>
      <x:c r="S32" s="1" t="s">
        <x:v>135</x:v>
      </x:c>
      <x:c r="T32" s="1" t="s">
        <x:v>144</x:v>
      </x:c>
      <x:c r="U32" s="1" t="s">
        <x:v>144</x:v>
      </x:c>
      <x:c r="V32" s="1" t="s">
        <x:v>134</x:v>
      </x:c>
      <x:c r="W32" s="1" t="s">
        <x:v>161</x:v>
      </x:c>
      <x:c r="X32" s="1" t="s">
        <x:v>132</x:v>
      </x:c>
      <x:c r="Y32" s="1" t="s">
        <x:v>116</x:v>
      </x:c>
      <x:c r="Z32" s="1" t="s">
        <x:v>131</x:v>
      </x:c>
      <x:c r="AA32" s="1" t="s">
        <x:v>129</x:v>
      </x:c>
      <x:c r="AB32" s="1" t="s">
        <x:v>133</x:v>
      </x:c>
      <x:c r="AC32" s="1" t="s">
        <x:v>115</x:v>
      </x:c>
      <x:c r="AD32" s="1" t="s">
        <x:v>131</x:v>
      </x:c>
      <x:c r="AE32" s="1" t="s">
        <x:v>156</x:v>
      </x:c>
      <x:c r="AF32" s="1" t="s">
        <x:v>168</x:v>
      </x:c>
      <x:c r="AG32" s="1" t="s">
        <x:v>116</x:v>
      </x:c>
      <x:c r="AH32" s="1" t="s">
        <x:v>147</x:v>
      </x:c>
      <x:c r="AI32" s="1" t="s">
        <x:v>170</x:v>
      </x:c>
      <x:c r="AJ32" s="1" t="s">
        <x:v>141</x:v>
      </x:c>
      <x:c r="AK32" s="1" t="s">
        <x:v>146</x:v>
      </x:c>
      <x:c r="AL32" s="1" t="s">
        <x:v>145</x:v>
      </x:c>
      <x:c r="AM32" s="1" t="s">
        <x:v>213</x:v>
      </x:c>
      <x:c r="AN32" s="1" t="s">
        <x:v>154</x:v>
      </x:c>
      <x:c r="AO32" s="1" t="s">
        <x:v>144</x:v>
      </x:c>
      <x:c r="AP32" s="1" t="s">
        <x:v>132</x:v>
      </x:c>
      <x:c r="AQ32" s="1" t="s">
        <x:v>126</x:v>
      </x:c>
      <x:c r="AR32" s="1" t="s">
        <x:v>134</x:v>
      </x:c>
      <x:c r="AS32" s="1" t="s">
        <x:v>147</x:v>
      </x:c>
      <x:c r="AT32" s="1" t="s">
        <x:v>134</x:v>
      </x:c>
      <x:c r="AU32" s="1" t="s">
        <x:v>166</x:v>
      </x:c>
      <x:c r="AV32" s="1" t="s">
        <x:v>118</x:v>
      </x:c>
      <x:c r="AW32" s="1" t="s">
        <x:v>132</x:v>
      </x:c>
      <x:c r="AX32" s="1" t="s">
        <x:v>160</x:v>
      </x:c>
      <x:c r="AY32" s="1" t="s">
        <x:v>138</x:v>
      </x:c>
      <x:c r="AZ32" s="1" t="s">
        <x:v>112</x:v>
      </x:c>
      <x:c r="BA32" s="1" t="s">
        <x:v>196</x:v>
      </x:c>
      <x:c r="BB32" s="1" t="s">
        <x:v>188</x:v>
      </x:c>
      <x:c r="BC32" s="1" t="s">
        <x:v>134</x:v>
      </x:c>
      <x:c r="BD32" s="1" t="s">
        <x:v>63</x:v>
      </x:c>
      <x:c r="BE32" s="11" t="n">
        <x:f>ROUND((((B32*2+C32+D32+E32+F32*2+G32+H32+I32)/10)+((J32*2+K32+L32+M32+N32*2+O32+P32+Q32)/10)*2)/3,2)</x:f>
        <x:v>5.33</x:v>
      </x:c>
      <x:c r="BF32" s="11" t="n">
        <x:f>ROUND((((R32*2+S32+T32+U32+V32*2+W32+X32+Y32)/10)+((Z32*2+AA32+AB32+AC32+AD32*2+AE32+AF32+AG32)/10)*2)/3,2)</x:f>
        <x:v>6</x:v>
      </x:c>
      <x:c r="BG32" s="11" t="n">
        <x:f>ROUND((((AH32*2+AI32+AJ32+AK32+AL32*2+AM32+AN32+AO32)/10)+((AP32*2+AQ32+AR32+AS32+AT32*2+AU32+AV32+AW32)/10)*2)/3,2)</x:f>
        <x:v>5.19</x:v>
      </x:c>
      <x:c r="BH32" s="13" t="str">
        <x:f>IF(BE32&lt;5,"Y",IF(BE32&lt;6.5,"TB",IF(BE32&lt;8,"K",IF(BE32&lt;9,"G","XS"))))</x:f>
        <x:v>TB</x:v>
      </x:c>
      <x:c r="BI32" s="13" t="str">
        <x:f>IF(BF32&lt;5,"Y",IF(BF32&lt;6.5,"TB",IF(BF32&lt;8,"K",IF(BF32&lt;9,"G","XS"))))</x:f>
        <x:v>TB</x:v>
      </x:c>
      <x:c r="BJ32" s="13" t="str">
        <x:f>IF(BG32&lt;5,"Y",IF(BG32&lt;6.5,"TB",IF(BG32&lt;8,"K",IF(BG32&lt;9,"G","XS"))))</x:f>
        <x:v>TB</x:v>
      </x:c>
      <x:c r="BK32" s="11" t="n">
        <x:f>ROUND((BE32/10)*4,2)</x:f>
        <x:v>2.13</x:v>
      </x:c>
      <x:c r="BL32" s="11" t="n">
        <x:f>ROUND((BF32/10)*4,2)</x:f>
        <x:v>2.4</x:v>
      </x:c>
      <x:c r="BM32" s="11" t="n">
        <x:f>ROUND((BG32/10)*4,2)</x:f>
        <x:v>2.08</x:v>
      </x:c>
      <x:c r="BN32" s="13" t="n">
        <x:f>IF(IF(OR(BD32="A",BD32="A1"),(BA32*2+BB32+BC32)/4,IF(BD32="B",(BA32+BB32*2+BC32)/4,(BA32+BB32+BC32)/3))&gt;=5,1,0)</x:f>
        <x:v>0</x:v>
      </x:c>
    </x:row>
    <x:row r="33">
      <x:c r="A33" s="1" t="s">
        <x:v>222</x:v>
      </x:c>
      <x:c r="B33" s="1" t="s">
        <x:v>136</x:v>
      </x:c>
      <x:c r="C33" s="1" t="s">
        <x:v>113</x:v>
      </x:c>
      <x:c r="D33" s="1" t="s">
        <x:v>144</x:v>
      </x:c>
      <x:c r="E33" s="1" t="s">
        <x:v>131</x:v>
      </x:c>
      <x:c r="F33" s="1" t="s">
        <x:v>131</x:v>
      </x:c>
      <x:c r="G33" s="1" t="s">
        <x:v>159</x:v>
      </x:c>
      <x:c r="H33" s="1" t="s">
        <x:v>159</x:v>
      </x:c>
      <x:c r="I33" s="1" t="s">
        <x:v>146</x:v>
      </x:c>
      <x:c r="J33" s="1" t="s">
        <x:v>174</x:v>
      </x:c>
      <x:c r="K33" s="1" t="s">
        <x:v>123</x:v>
      </x:c>
      <x:c r="L33" s="1" t="s">
        <x:v>121</x:v>
      </x:c>
      <x:c r="M33" s="1" t="s">
        <x:v>127</x:v>
      </x:c>
      <x:c r="N33" s="1" t="s">
        <x:v>168</x:v>
      </x:c>
      <x:c r="O33" s="1" t="s">
        <x:v>129</x:v>
      </x:c>
      <x:c r="P33" s="1" t="s">
        <x:v>144</x:v>
      </x:c>
      <x:c r="Q33" s="1" t="s">
        <x:v>133</x:v>
      </x:c>
      <x:c r="R33" s="1" t="s">
        <x:v>165</x:v>
      </x:c>
      <x:c r="S33" s="1" t="s">
        <x:v>133</x:v>
      </x:c>
      <x:c r="T33" s="1" t="s">
        <x:v>154</x:v>
      </x:c>
      <x:c r="U33" s="1" t="s">
        <x:v>174</x:v>
      </x:c>
      <x:c r="V33" s="1" t="s">
        <x:v>121</x:v>
      </x:c>
      <x:c r="W33" s="1" t="s">
        <x:v>177</x:v>
      </x:c>
      <x:c r="X33" s="1" t="s">
        <x:v>119</x:v>
      </x:c>
      <x:c r="Y33" s="1" t="s">
        <x:v>144</x:v>
      </x:c>
      <x:c r="Z33" s="1" t="s">
        <x:v>118</x:v>
      </x:c>
      <x:c r="AA33" s="1" t="s">
        <x:v>118</x:v>
      </x:c>
      <x:c r="AB33" s="1" t="s">
        <x:v>118</x:v>
      </x:c>
      <x:c r="AC33" s="1" t="s">
        <x:v>131</x:v>
      </x:c>
      <x:c r="AD33" s="1" t="s">
        <x:v>135</x:v>
      </x:c>
      <x:c r="AE33" s="1" t="s">
        <x:v>116</x:v>
      </x:c>
      <x:c r="AF33" s="1" t="s">
        <x:v>127</x:v>
      </x:c>
      <x:c r="AG33" s="1" t="s">
        <x:v>133</x:v>
      </x:c>
      <x:c r="AH33" s="1" t="s">
        <x:v>135</x:v>
      </x:c>
      <x:c r="AI33" s="1" t="s">
        <x:v>144</x:v>
      </x:c>
      <x:c r="AJ33" s="1" t="s">
        <x:v>144</x:v>
      </x:c>
      <x:c r="AK33" s="1" t="s">
        <x:v>121</x:v>
      </x:c>
      <x:c r="AL33" s="1" t="s">
        <x:v>165</x:v>
      </x:c>
      <x:c r="AM33" s="1" t="s">
        <x:v>129</x:v>
      </x:c>
      <x:c r="AN33" s="1" t="s">
        <x:v>165</x:v>
      </x:c>
      <x:c r="AO33" s="1" t="s">
        <x:v>133</x:v>
      </x:c>
      <x:c r="AP33" s="1" t="s">
        <x:v>135</x:v>
      </x:c>
      <x:c r="AQ33" s="1" t="s">
        <x:v>165</x:v>
      </x:c>
      <x:c r="AR33" s="1" t="s">
        <x:v>164</x:v>
      </x:c>
      <x:c r="AS33" s="1" t="s">
        <x:v>159</x:v>
      </x:c>
      <x:c r="AT33" s="1" t="s">
        <x:v>168</x:v>
      </x:c>
      <x:c r="AU33" s="1" t="s">
        <x:v>181</x:v>
      </x:c>
      <x:c r="AV33" s="1" t="s">
        <x:v>119</x:v>
      </x:c>
      <x:c r="AW33" s="1" t="s">
        <x:v>166</x:v>
      </x:c>
      <x:c r="AX33" s="1" t="s">
        <x:v>137</x:v>
      </x:c>
      <x:c r="AY33" s="1" t="s">
        <x:v>138</x:v>
      </x:c>
      <x:c r="AZ33" s="1" t="s">
        <x:v>112</x:v>
      </x:c>
      <x:c r="BA33" s="1" t="s">
        <x:v>134</x:v>
      </x:c>
      <x:c r="BB33" s="1" t="s">
        <x:v>162</x:v>
      </x:c>
      <x:c r="BC33" s="1" t="s">
        <x:v>118</x:v>
      </x:c>
      <x:c r="BD33" s="1" t="s">
        <x:v>63</x:v>
      </x:c>
      <x:c r="BE33" s="11" t="n">
        <x:f>ROUND((((B33*2+C33+D33+E33+F33*2+G33+H33+I33)/10)+((J33*2+K33+L33+M33+N33*2+O33+P33+Q33)/10)*2)/3,2)</x:f>
        <x:v>6.45</x:v>
      </x:c>
      <x:c r="BF33" s="11" t="n">
        <x:f>ROUND((((R33*2+S33+T33+U33+V33*2+W33+X33+Y33)/10)+((Z33*2+AA33+AB33+AC33+AD33*2+AE33+AF33+AG33)/10)*2)/3,2)</x:f>
        <x:v>6.22</x:v>
      </x:c>
      <x:c r="BG33" s="11" t="n">
        <x:f>ROUND((((AH33*2+AI33+AJ33+AK33+AL33*2+AM33+AN33+AO33)/10)+((AP33*2+AQ33+AR33+AS33+AT33*2+AU33+AV33+AW33)/10)*2)/3,2)</x:f>
        <x:v>6.78</x:v>
      </x:c>
      <x:c r="BH33" s="13" t="str">
        <x:f>IF(BE33&lt;5,"Y",IF(BE33&lt;6.5,"TB",IF(BE33&lt;8,"K",IF(BE33&lt;9,"G","XS"))))</x:f>
        <x:v>TB</x:v>
      </x:c>
      <x:c r="BI33" s="13" t="str">
        <x:f>IF(BF33&lt;5,"Y",IF(BF33&lt;6.5,"TB",IF(BF33&lt;8,"K",IF(BF33&lt;9,"G","XS"))))</x:f>
        <x:v>TB</x:v>
      </x:c>
      <x:c r="BJ33" s="13" t="str">
        <x:f>IF(BG33&lt;5,"Y",IF(BG33&lt;6.5,"TB",IF(BG33&lt;8,"K",IF(BG33&lt;9,"G","XS"))))</x:f>
        <x:v>K</x:v>
      </x:c>
      <x:c r="BK33" s="11" t="n">
        <x:f>ROUND((BE33/10)*4,2)</x:f>
        <x:v>2.58</x:v>
      </x:c>
      <x:c r="BL33" s="11" t="n">
        <x:f>ROUND((BF33/10)*4,2)</x:f>
        <x:v>2.49</x:v>
      </x:c>
      <x:c r="BM33" s="11" t="n">
        <x:f>ROUND((BG33/10)*4,2)</x:f>
        <x:v>2.71</x:v>
      </x:c>
      <x:c r="BN33" s="13" t="n">
        <x:f>IF(IF(OR(BD33="A",BD33="A1"),(BA33*2+BB33+BC33)/4,IF(BD33="B",(BA33+BB33*2+BC33)/4,(BA33+BB33+BC33)/3))&gt;=5,1,0)</x:f>
        <x:v>0</x:v>
      </x:c>
    </x:row>
    <x:row r="34">
      <x:c r="A34" s="1" t="s">
        <x:v>223</x:v>
      </x:c>
      <x:c r="B34" s="1" t="s">
        <x:v>224</x:v>
      </x:c>
      <x:c r="C34" s="1" t="s">
        <x:v>158</x:v>
      </x:c>
      <x:c r="D34" s="1" t="s">
        <x:v>158</x:v>
      </x:c>
      <x:c r="E34" s="1" t="s">
        <x:v>212</x:v>
      </x:c>
      <x:c r="F34" s="1" t="s">
        <x:v>195</x:v>
      </x:c>
      <x:c r="G34" s="1" t="s">
        <x:v>144</x:v>
      </x:c>
      <x:c r="H34" s="1" t="s">
        <x:v>126</x:v>
      </x:c>
      <x:c r="I34" s="1" t="s">
        <x:v>141</x:v>
      </x:c>
      <x:c r="J34" s="1" t="s">
        <x:v>152</x:v>
      </x:c>
      <x:c r="K34" s="1" t="s">
        <x:v>132</x:v>
      </x:c>
      <x:c r="L34" s="1" t="s">
        <x:v>115</x:v>
      </x:c>
      <x:c r="M34" s="1" t="s">
        <x:v>128</x:v>
      </x:c>
      <x:c r="N34" s="1" t="s">
        <x:v>141</x:v>
      </x:c>
      <x:c r="O34" s="1" t="s">
        <x:v>113</x:v>
      </x:c>
      <x:c r="P34" s="1" t="s">
        <x:v>131</x:v>
      </x:c>
      <x:c r="Q34" s="1" t="s">
        <x:v>141</x:v>
      </x:c>
      <x:c r="R34" s="1" t="s">
        <x:v>130</x:v>
      </x:c>
      <x:c r="S34" s="1" t="s">
        <x:v>168</x:v>
      </x:c>
      <x:c r="T34" s="1" t="s">
        <x:v>168</x:v>
      </x:c>
      <x:c r="U34" s="1" t="s">
        <x:v>174</x:v>
      </x:c>
      <x:c r="V34" s="1" t="s">
        <x:v>155</x:v>
      </x:c>
      <x:c r="W34" s="1" t="s">
        <x:v>129</x:v>
      </x:c>
      <x:c r="X34" s="1" t="s">
        <x:v>181</x:v>
      </x:c>
      <x:c r="Y34" s="1" t="s">
        <x:v>147</x:v>
      </x:c>
      <x:c r="Z34" s="1" t="s">
        <x:v>164</x:v>
      </x:c>
      <x:c r="AA34" s="1" t="s">
        <x:v>174</x:v>
      </x:c>
      <x:c r="AB34" s="1" t="s">
        <x:v>113</x:v>
      </x:c>
      <x:c r="AC34" s="1" t="s">
        <x:v>168</x:v>
      </x:c>
      <x:c r="AD34" s="1" t="s">
        <x:v>115</x:v>
      </x:c>
      <x:c r="AE34" s="1" t="s">
        <x:v>128</x:v>
      </x:c>
      <x:c r="AF34" s="1" t="s">
        <x:v>177</x:v>
      </x:c>
      <x:c r="AG34" s="1" t="s">
        <x:v>159</x:v>
      </x:c>
      <x:c r="AH34" s="1" t="s">
        <x:v>115</x:v>
      </x:c>
      <x:c r="AI34" s="1" t="s">
        <x:v>132</x:v>
      </x:c>
      <x:c r="AJ34" s="1" t="s">
        <x:v>136</x:v>
      </x:c>
      <x:c r="AK34" s="1" t="s">
        <x:v>169</x:v>
      </x:c>
      <x:c r="AL34" s="1" t="s">
        <x:v>118</x:v>
      </x:c>
      <x:c r="AM34" s="1" t="s">
        <x:v>166</x:v>
      </x:c>
      <x:c r="AN34" s="1" t="s">
        <x:v>115</x:v>
      </x:c>
      <x:c r="AO34" s="1" t="s">
        <x:v>156</x:v>
      </x:c>
      <x:c r="AP34" s="1" t="s">
        <x:v>177</x:v>
      </x:c>
      <x:c r="AQ34" s="1" t="s">
        <x:v>114</x:v>
      </x:c>
      <x:c r="AR34" s="1" t="s">
        <x:v>114</x:v>
      </x:c>
      <x:c r="AS34" s="1" t="s">
        <x:v>125</x:v>
      </x:c>
      <x:c r="AT34" s="1" t="s">
        <x:v>121</x:v>
      </x:c>
      <x:c r="AU34" s="1" t="s">
        <x:v>122</x:v>
      </x:c>
      <x:c r="AV34" s="1" t="s">
        <x:v>159</x:v>
      </x:c>
      <x:c r="AW34" s="1" t="s">
        <x:v>159</x:v>
      </x:c>
      <x:c r="AX34" s="1" t="s">
        <x:v>160</x:v>
      </x:c>
      <x:c r="AY34" s="1" t="s">
        <x:v>138</x:v>
      </x:c>
      <x:c r="AZ34" s="1" t="s">
        <x:v>112</x:v>
      </x:c>
      <x:c r="BA34" s="1" t="s">
        <x:v>141</x:v>
      </x:c>
      <x:c r="BB34" s="1" t="s">
        <x:v>190</x:v>
      </x:c>
      <x:c r="BC34" s="1" t="s">
        <x:v>118</x:v>
      </x:c>
      <x:c r="BD34" s="1" t="s">
        <x:v>178</x:v>
      </x:c>
      <x:c r="BE34" s="11" t="n">
        <x:f>ROUND((((B34*2+C34+D34+E34+F34*2+G34+H34+I34)/10)+((J34*2+K34+L34+M34+N34*2+O34+P34+Q34)/10)*2)/3,2)</x:f>
        <x:v>5.01</x:v>
      </x:c>
      <x:c r="BF34" s="11" t="n">
        <x:f>ROUND((((R34*2+S34+T34+U34+V34*2+W34+X34+Y34)/10)+((Z34*2+AA34+AB34+AC34+AD34*2+AE34+AF34+AG34)/10)*2)/3,2)</x:f>
        <x:v>6.76</x:v>
      </x:c>
      <x:c r="BG34" s="11" t="n">
        <x:f>ROUND((((AH34*2+AI34+AJ34+AK34+AL34*2+AM34+AN34+AO34)/10)+((AP34*2+AQ34+AR34+AS34+AT34*2+AU34+AV34+AW34)/10)*2)/3,2)</x:f>
        <x:v>6.77</x:v>
      </x:c>
      <x:c r="BH34" s="13" t="str">
        <x:f>IF(BE34&lt;5,"Y",IF(BE34&lt;6.5,"TB",IF(BE34&lt;8,"K",IF(BE34&lt;9,"G","XS"))))</x:f>
        <x:v>TB</x:v>
      </x:c>
      <x:c r="BI34" s="13" t="str">
        <x:f>IF(BF34&lt;5,"Y",IF(BF34&lt;6.5,"TB",IF(BF34&lt;8,"K",IF(BF34&lt;9,"G","XS"))))</x:f>
        <x:v>K</x:v>
      </x:c>
      <x:c r="BJ34" s="13" t="str">
        <x:f>IF(BG34&lt;5,"Y",IF(BG34&lt;6.5,"TB",IF(BG34&lt;8,"K",IF(BG34&lt;9,"G","XS"))))</x:f>
        <x:v>K</x:v>
      </x:c>
      <x:c r="BK34" s="11" t="n">
        <x:f>ROUND((BE34/10)*4,2)</x:f>
        <x:v>2</x:v>
      </x:c>
      <x:c r="BL34" s="11" t="n">
        <x:f>ROUND((BF34/10)*4,2)</x:f>
        <x:v>2.7</x:v>
      </x:c>
      <x:c r="BM34" s="11" t="n">
        <x:f>ROUND((BG34/10)*4,2)</x:f>
        <x:v>2.71</x:v>
      </x:c>
      <x:c r="BN34" s="13" t="n">
        <x:f>IF(IF(OR(BD34="A",BD34="A1"),(BA34*2+BB34+BC34)/4,IF(BD34="B",(BA34+BB34*2+BC34)/4,(BA34+BB34+BC34)/3))&gt;=5,1,0)</x:f>
        <x:v>0</x:v>
      </x:c>
    </x:row>
    <x:row r="35">
      <x:c r="A35" s="1" t="s">
        <x:v>225</x:v>
      </x:c>
      <x:c r="B35" s="1" t="s">
        <x:v>161</x:v>
      </x:c>
      <x:c r="C35" s="1" t="s">
        <x:v>164</x:v>
      </x:c>
      <x:c r="D35" s="1" t="s">
        <x:v>129</x:v>
      </x:c>
      <x:c r="E35" s="1" t="s">
        <x:v>114</x:v>
      </x:c>
      <x:c r="F35" s="1" t="s">
        <x:v>123</x:v>
      </x:c>
      <x:c r="G35" s="1" t="s">
        <x:v>129</x:v>
      </x:c>
      <x:c r="H35" s="1" t="s">
        <x:v>127</x:v>
      </x:c>
      <x:c r="I35" s="1" t="s">
        <x:v>116</x:v>
      </x:c>
      <x:c r="J35" s="1" t="s">
        <x:v>161</x:v>
      </x:c>
      <x:c r="K35" s="1" t="s">
        <x:v>127</x:v>
      </x:c>
      <x:c r="L35" s="1" t="s">
        <x:v>121</x:v>
      </x:c>
      <x:c r="M35" s="1" t="s">
        <x:v>174</x:v>
      </x:c>
      <x:c r="N35" s="1" t="s">
        <x:v>166</x:v>
      </x:c>
      <x:c r="O35" s="1" t="s">
        <x:v>127</x:v>
      </x:c>
      <x:c r="P35" s="1" t="s">
        <x:v>116</x:v>
      </x:c>
      <x:c r="Q35" s="1" t="s">
        <x:v>136</x:v>
      </x:c>
      <x:c r="R35" s="1" t="s">
        <x:v>164</x:v>
      </x:c>
      <x:c r="S35" s="1" t="s">
        <x:v>174</x:v>
      </x:c>
      <x:c r="T35" s="1" t="s">
        <x:v>129</x:v>
      </x:c>
      <x:c r="U35" s="1" t="s">
        <x:v>185</x:v>
      </x:c>
      <x:c r="V35" s="1" t="s">
        <x:v>131</x:v>
      </x:c>
      <x:c r="W35" s="1" t="s">
        <x:v>119</x:v>
      </x:c>
      <x:c r="X35" s="1" t="s">
        <x:v>125</x:v>
      </x:c>
      <x:c r="Y35" s="1" t="s">
        <x:v>127</x:v>
      </x:c>
      <x:c r="Z35" s="1" t="s">
        <x:v>144</x:v>
      </x:c>
      <x:c r="AA35" s="1" t="s">
        <x:v>123</x:v>
      </x:c>
      <x:c r="AB35" s="1" t="s">
        <x:v>166</x:v>
      </x:c>
      <x:c r="AC35" s="1" t="s">
        <x:v>119</x:v>
      </x:c>
      <x:c r="AD35" s="1" t="s">
        <x:v>123</x:v>
      </x:c>
      <x:c r="AE35" s="1" t="s">
        <x:v>174</x:v>
      </x:c>
      <x:c r="AF35" s="1" t="s">
        <x:v>115</x:v>
      </x:c>
      <x:c r="AG35" s="1" t="s">
        <x:v>114</x:v>
      </x:c>
      <x:c r="AH35" s="1" t="s">
        <x:v>159</x:v>
      </x:c>
      <x:c r="AI35" s="1" t="s">
        <x:v>132</x:v>
      </x:c>
      <x:c r="AJ35" s="1" t="s">
        <x:v>129</x:v>
      </x:c>
      <x:c r="AK35" s="1" t="s">
        <x:v>164</x:v>
      </x:c>
      <x:c r="AL35" s="1" t="s">
        <x:v>123</x:v>
      </x:c>
      <x:c r="AM35" s="1" t="s">
        <x:v>123</x:v>
      </x:c>
      <x:c r="AN35" s="1" t="s">
        <x:v>127</x:v>
      </x:c>
      <x:c r="AO35" s="1" t="s">
        <x:v>135</x:v>
      </x:c>
      <x:c r="AP35" s="1" t="s">
        <x:v>159</x:v>
      </x:c>
      <x:c r="AQ35" s="1" t="s">
        <x:v>136</x:v>
      </x:c>
      <x:c r="AR35" s="1" t="s">
        <x:v>159</x:v>
      </x:c>
      <x:c r="AS35" s="1" t="s">
        <x:v>123</x:v>
      </x:c>
      <x:c r="AT35" s="1" t="s">
        <x:v>159</x:v>
      </x:c>
      <x:c r="AU35" s="1" t="s">
        <x:v>123</x:v>
      </x:c>
      <x:c r="AV35" s="1" t="s">
        <x:v>129</x:v>
      </x:c>
      <x:c r="AW35" s="1" t="s">
        <x:v>165</x:v>
      </x:c>
      <x:c r="AX35" s="1" t="s">
        <x:v>137</x:v>
      </x:c>
      <x:c r="AY35" s="1" t="s">
        <x:v>138</x:v>
      </x:c>
      <x:c r="AZ35" s="1" t="s">
        <x:v>143</x:v>
      </x:c>
      <x:c r="BA35" s="1" t="s">
        <x:v>141</x:v>
      </x:c>
      <x:c r="BB35" s="1" t="s">
        <x:v>141</x:v>
      </x:c>
      <x:c r="BC35" s="1" t="s">
        <x:v>190</x:v>
      </x:c>
      <x:c r="BD35" s="1" t="s">
        <x:v>63</x:v>
      </x:c>
      <x:c r="BE35" s="11" t="n">
        <x:f>ROUND((((B35*2+C35+D35+E35+F35*2+G35+H35+I35)/10)+((J35*2+K35+L35+M35+N35*2+O35+P35+Q35)/10)*2)/3,2)</x:f>
        <x:v>6.67</x:v>
      </x:c>
      <x:c r="BF35" s="11" t="n">
        <x:f>ROUND((((R35*2+S35+T35+U35+V35*2+W35+X35+Y35)/10)+((Z35*2+AA35+AB35+AC35+AD35*2+AE35+AF35+AG35)/10)*2)/3,2)</x:f>
        <x:v>6.78</x:v>
      </x:c>
      <x:c r="BG35" s="11" t="n">
        <x:f>ROUND((((AH35*2+AI35+AJ35+AK35+AL35*2+AM35+AN35+AO35)/10)+((AP35*2+AQ35+AR35+AS35+AT35*2+AU35+AV35+AW35)/10)*2)/3,2)</x:f>
        <x:v>6.81</x:v>
      </x:c>
      <x:c r="BH35" s="13" t="str">
        <x:f>IF(BE35&lt;5,"Y",IF(BE35&lt;6.5,"TB",IF(BE35&lt;8,"K",IF(BE35&lt;9,"G","XS"))))</x:f>
        <x:v>K</x:v>
      </x:c>
      <x:c r="BI35" s="13" t="str">
        <x:f>IF(BF35&lt;5,"Y",IF(BF35&lt;6.5,"TB",IF(BF35&lt;8,"K",IF(BF35&lt;9,"G","XS"))))</x:f>
        <x:v>K</x:v>
      </x:c>
      <x:c r="BJ35" s="13" t="str">
        <x:f>IF(BG35&lt;5,"Y",IF(BG35&lt;6.5,"TB",IF(BG35&lt;8,"K",IF(BG35&lt;9,"G","XS"))))</x:f>
        <x:v>K</x:v>
      </x:c>
      <x:c r="BK35" s="11" t="n">
        <x:f>ROUND((BE35/10)*4,2)</x:f>
        <x:v>2.67</x:v>
      </x:c>
      <x:c r="BL35" s="11" t="n">
        <x:f>ROUND((BF35/10)*4,2)</x:f>
        <x:v>2.71</x:v>
      </x:c>
      <x:c r="BM35" s="11" t="n">
        <x:f>ROUND((BG35/10)*4,2)</x:f>
        <x:v>2.72</x:v>
      </x:c>
      <x:c r="BN35" s="13" t="n">
        <x:f>IF(IF(OR(BD35="A",BD35="A1"),(BA35*2+BB35+BC35)/4,IF(BD35="B",(BA35+BB35*2+BC35)/4,(BA35+BB35+BC35)/3))&gt;=5,1,0)</x:f>
        <x:v>0</x:v>
      </x:c>
    </x:row>
    <x:row r="36">
      <x:c r="A36" s="1" t="s">
        <x:v>226</x:v>
      </x:c>
      <x:c r="B36" s="1" t="s">
        <x:v>168</x:v>
      </x:c>
      <x:c r="C36" s="1" t="s">
        <x:v>158</x:v>
      </x:c>
      <x:c r="D36" s="1" t="s">
        <x:v>168</x:v>
      </x:c>
      <x:c r="E36" s="1" t="s">
        <x:v>130</x:v>
      </x:c>
      <x:c r="F36" s="1" t="s">
        <x:v>133</x:v>
      </x:c>
      <x:c r="G36" s="1" t="s">
        <x:v>113</x:v>
      </x:c>
      <x:c r="H36" s="1" t="s">
        <x:v>127</x:v>
      </x:c>
      <x:c r="I36" s="1" t="s">
        <x:v>219</x:v>
      </x:c>
      <x:c r="J36" s="1" t="s">
        <x:v>141</x:v>
      </x:c>
      <x:c r="K36" s="1" t="s">
        <x:v>154</x:v>
      </x:c>
      <x:c r="L36" s="1" t="s">
        <x:v>166</x:v>
      </x:c>
      <x:c r="M36" s="1" t="s">
        <x:v>147</x:v>
      </x:c>
      <x:c r="N36" s="1" t="s">
        <x:v>156</x:v>
      </x:c>
      <x:c r="O36" s="1" t="s">
        <x:v>168</x:v>
      </x:c>
      <x:c r="P36" s="1" t="s">
        <x:v>158</x:v>
      </x:c>
      <x:c r="Q36" s="1" t="s">
        <x:v>146</x:v>
      </x:c>
      <x:c r="R36" s="1" t="s">
        <x:v>177</x:v>
      </x:c>
      <x:c r="S36" s="1" t="s">
        <x:v>174</x:v>
      </x:c>
      <x:c r="T36" s="1" t="s">
        <x:v>114</x:v>
      </x:c>
      <x:c r="U36" s="1" t="s">
        <x:v>115</x:v>
      </x:c>
      <x:c r="V36" s="1" t="s">
        <x:v>147</x:v>
      </x:c>
      <x:c r="W36" s="1" t="s">
        <x:v>130</x:v>
      </x:c>
      <x:c r="X36" s="1" t="s">
        <x:v>133</x:v>
      </x:c>
      <x:c r="Y36" s="1" t="s">
        <x:v>121</x:v>
      </x:c>
      <x:c r="Z36" s="1" t="s">
        <x:v>184</x:v>
      </x:c>
      <x:c r="AA36" s="1" t="s">
        <x:v>123</x:v>
      </x:c>
      <x:c r="AB36" s="1" t="s">
        <x:v>130</x:v>
      </x:c>
      <x:c r="AC36" s="1" t="s">
        <x:v>158</x:v>
      </x:c>
      <x:c r="AD36" s="1" t="s">
        <x:v>154</x:v>
      </x:c>
      <x:c r="AE36" s="1" t="s">
        <x:v>123</x:v>
      </x:c>
      <x:c r="AF36" s="1" t="s">
        <x:v>156</x:v>
      </x:c>
      <x:c r="AG36" s="1" t="s">
        <x:v>118</x:v>
      </x:c>
      <x:c r="AH36" s="1" t="s">
        <x:v>174</x:v>
      </x:c>
      <x:c r="AI36" s="1" t="s">
        <x:v>144</x:v>
      </x:c>
      <x:c r="AJ36" s="1" t="s">
        <x:v>166</x:v>
      </x:c>
      <x:c r="AK36" s="1" t="s">
        <x:v>168</x:v>
      </x:c>
      <x:c r="AL36" s="1" t="s">
        <x:v>141</x:v>
      </x:c>
      <x:c r="AM36" s="1" t="s">
        <x:v>147</x:v>
      </x:c>
      <x:c r="AN36" s="1" t="s">
        <x:v>130</x:v>
      </x:c>
      <x:c r="AO36" s="1" t="s">
        <x:v>227</x:v>
      </x:c>
      <x:c r="AP36" s="1" t="s">
        <x:v>161</x:v>
      </x:c>
      <x:c r="AQ36" s="1" t="s">
        <x:v>164</x:v>
      </x:c>
      <x:c r="AR36" s="1" t="s">
        <x:v>116</x:v>
      </x:c>
      <x:c r="AS36" s="1" t="s">
        <x:v>134</x:v>
      </x:c>
      <x:c r="AT36" s="1" t="s">
        <x:v>155</x:v>
      </x:c>
      <x:c r="AU36" s="1" t="s">
        <x:v>155</x:v>
      </x:c>
      <x:c r="AV36" s="1" t="s">
        <x:v>168</x:v>
      </x:c>
      <x:c r="AW36" s="1" t="s">
        <x:v>154</x:v>
      </x:c>
      <x:c r="AX36" s="1" t="s">
        <x:v>160</x:v>
      </x:c>
      <x:c r="AY36" s="1" t="s">
        <x:v>138</x:v>
      </x:c>
      <x:c r="AZ36" s="1" t="s">
        <x:v>112</x:v>
      </x:c>
      <x:c r="BA36" s="1" t="s">
        <x:v>214</x:v>
      </x:c>
      <x:c r="BB36" s="1" t="s">
        <x:v>146</x:v>
      </x:c>
      <x:c r="BC36" s="1" t="s">
        <x:v>172</x:v>
      </x:c>
      <x:c r="BD36" s="1" t="s">
        <x:v>178</x:v>
      </x:c>
      <x:c r="BE36" s="11" t="n">
        <x:f>ROUND((((B36*2+C36+D36+E36+F36*2+G36+H36+I36)/10)+((J36*2+K36+L36+M36+N36*2+O36+P36+Q36)/10)*2)/3,2)</x:f>
        <x:v>5.28</x:v>
      </x:c>
      <x:c r="BF36" s="11" t="n">
        <x:f>ROUND((((R36*2+S36+T36+U36+V36*2+W36+X36+Y36)/10)+((Z36*2+AA36+AB36+AC36+AD36*2+AE36+AF36+AG36)/10)*2)/3,2)</x:f>
        <x:v>6.18</x:v>
      </x:c>
      <x:c r="BG36" s="11" t="n">
        <x:f>ROUND((((AH36*2+AI36+AJ36+AK36+AL36*2+AM36+AN36+AO36)/10)+((AP36*2+AQ36+AR36+AS36+AT36*2+AU36+AV36+AW36)/10)*2)/3,2)</x:f>
        <x:v>5.64</x:v>
      </x:c>
      <x:c r="BH36" s="13" t="str">
        <x:f>IF(BE36&lt;5,"Y",IF(BE36&lt;6.5,"TB",IF(BE36&lt;8,"K",IF(BE36&lt;9,"G","XS"))))</x:f>
        <x:v>TB</x:v>
      </x:c>
      <x:c r="BI36" s="13" t="str">
        <x:f>IF(BF36&lt;5,"Y",IF(BF36&lt;6.5,"TB",IF(BF36&lt;8,"K",IF(BF36&lt;9,"G","XS"))))</x:f>
        <x:v>TB</x:v>
      </x:c>
      <x:c r="BJ36" s="13" t="str">
        <x:f>IF(BG36&lt;5,"Y",IF(BG36&lt;6.5,"TB",IF(BG36&lt;8,"K",IF(BG36&lt;9,"G","XS"))))</x:f>
        <x:v>TB</x:v>
      </x:c>
      <x:c r="BK36" s="11" t="n">
        <x:f>ROUND((BE36/10)*4,2)</x:f>
        <x:v>2.11</x:v>
      </x:c>
      <x:c r="BL36" s="11" t="n">
        <x:f>ROUND((BF36/10)*4,2)</x:f>
        <x:v>2.47</x:v>
      </x:c>
      <x:c r="BM36" s="11" t="n">
        <x:f>ROUND((BG36/10)*4,2)</x:f>
        <x:v>2.26</x:v>
      </x:c>
      <x:c r="BN36" s="13" t="n">
        <x:f>IF(IF(OR(BD36="A",BD36="A1"),(BA36*2+BB36+BC36)/4,IF(BD36="B",(BA36+BB36*2+BC36)/4,(BA36+BB36+BC36)/3))&gt;=5,1,0)</x:f>
        <x:v>0</x:v>
      </x:c>
    </x:row>
    <x:row r="37">
      <x:c r="A37" s="1" t="s">
        <x:v>228</x:v>
      </x:c>
      <x:c r="B37" s="1" t="s">
        <x:v>150</x:v>
      </x:c>
      <x:c r="C37" s="1" t="s">
        <x:v>113</x:v>
      </x:c>
      <x:c r="D37" s="1" t="s">
        <x:v>125</x:v>
      </x:c>
      <x:c r="E37" s="1" t="s">
        <x:v>136</x:v>
      </x:c>
      <x:c r="F37" s="1" t="s">
        <x:v>115</x:v>
      </x:c>
      <x:c r="G37" s="1" t="s">
        <x:v>174</x:v>
      </x:c>
      <x:c r="H37" s="1" t="s">
        <x:v>155</x:v>
      </x:c>
      <x:c r="I37" s="1" t="s">
        <x:v>150</x:v>
      </x:c>
      <x:c r="J37" s="1" t="s">
        <x:v>166</x:v>
      </x:c>
      <x:c r="K37" s="1" t="s">
        <x:v>144</x:v>
      </x:c>
      <x:c r="L37" s="1" t="s">
        <x:v>116</x:v>
      </x:c>
      <x:c r="M37" s="1" t="s">
        <x:v>123</x:v>
      </x:c>
      <x:c r="N37" s="1" t="s">
        <x:v>118</x:v>
      </x:c>
      <x:c r="O37" s="1" t="s">
        <x:v>135</x:v>
      </x:c>
      <x:c r="P37" s="1" t="s">
        <x:v>128</x:v>
      </x:c>
      <x:c r="Q37" s="1" t="s">
        <x:v>155</x:v>
      </x:c>
      <x:c r="R37" s="1" t="s">
        <x:v>151</x:v>
      </x:c>
      <x:c r="S37" s="1" t="s">
        <x:v>147</x:v>
      </x:c>
      <x:c r="T37" s="1" t="s">
        <x:v>126</x:v>
      </x:c>
      <x:c r="U37" s="1" t="s">
        <x:v>114</x:v>
      </x:c>
      <x:c r="V37" s="1" t="s">
        <x:v>166</x:v>
      </x:c>
      <x:c r="W37" s="1" t="s">
        <x:v>131</x:v>
      </x:c>
      <x:c r="X37" s="1" t="s">
        <x:v>113</x:v>
      </x:c>
      <x:c r="Y37" s="1" t="s">
        <x:v>168</x:v>
      </x:c>
      <x:c r="Z37" s="1" t="s">
        <x:v>147</x:v>
      </x:c>
      <x:c r="AA37" s="1" t="s">
        <x:v>156</x:v>
      </x:c>
      <x:c r="AB37" s="1" t="s">
        <x:v>119</x:v>
      </x:c>
      <x:c r="AC37" s="1" t="s">
        <x:v>113</x:v>
      </x:c>
      <x:c r="AD37" s="1" t="s">
        <x:v>135</x:v>
      </x:c>
      <x:c r="AE37" s="1" t="s">
        <x:v>129</x:v>
      </x:c>
      <x:c r="AF37" s="1" t="s">
        <x:v>119</x:v>
      </x:c>
      <x:c r="AG37" s="1" t="s">
        <x:v>115</x:v>
      </x:c>
      <x:c r="AH37" s="1" t="s">
        <x:v>168</x:v>
      </x:c>
      <x:c r="AI37" s="1" t="s">
        <x:v>131</x:v>
      </x:c>
      <x:c r="AJ37" s="1" t="s">
        <x:v>159</x:v>
      </x:c>
      <x:c r="AK37" s="1" t="s">
        <x:v>132</x:v>
      </x:c>
      <x:c r="AL37" s="1" t="s">
        <x:v>116</x:v>
      </x:c>
      <x:c r="AM37" s="1" t="s">
        <x:v>147</x:v>
      </x:c>
      <x:c r="AN37" s="1" t="s">
        <x:v>131</x:v>
      </x:c>
      <x:c r="AO37" s="1" t="s">
        <x:v>150</x:v>
      </x:c>
      <x:c r="AP37" s="1" t="s">
        <x:v>116</x:v>
      </x:c>
      <x:c r="AQ37" s="1" t="s">
        <x:v>118</x:v>
      </x:c>
      <x:c r="AR37" s="1" t="s">
        <x:v>116</x:v>
      </x:c>
      <x:c r="AS37" s="1" t="s">
        <x:v>116</x:v>
      </x:c>
      <x:c r="AT37" s="1" t="s">
        <x:v>136</x:v>
      </x:c>
      <x:c r="AU37" s="1" t="s">
        <x:v>147</x:v>
      </x:c>
      <x:c r="AV37" s="1" t="s">
        <x:v>164</x:v>
      </x:c>
      <x:c r="AW37" s="1" t="s">
        <x:v>151</x:v>
      </x:c>
      <x:c r="AX37" s="1" t="s">
        <x:v>160</x:v>
      </x:c>
      <x:c r="AY37" s="1" t="s">
        <x:v>138</x:v>
      </x:c>
      <x:c r="AZ37" s="1" t="s">
        <x:v>139</x:v>
      </x:c>
      <x:c r="BA37" s="1" t="s">
        <x:v>167</x:v>
      </x:c>
      <x:c r="BB37" s="1" t="s">
        <x:v>141</x:v>
      </x:c>
      <x:c r="BC37" s="1" t="s">
        <x:v>141</x:v>
      </x:c>
      <x:c r="BD37" s="1" t="s">
        <x:v>178</x:v>
      </x:c>
      <x:c r="BE37" s="11" t="n">
        <x:f>ROUND((((B37*2+C37+D37+E37+F37*2+G37+H37+I37)/10)+((J37*2+K37+L37+M37+N37*2+O37+P37+Q37)/10)*2)/3,2)</x:f>
        <x:v>6.18</x:v>
      </x:c>
      <x:c r="BF37" s="11" t="n">
        <x:f>ROUND((((R37*2+S37+T37+U37+V37*2+W37+X37+Y37)/10)+((Z37*2+AA37+AB37+AC37+AD37*2+AE37+AF37+AG37)/10)*2)/3,2)</x:f>
        <x:v>6.34</x:v>
      </x:c>
      <x:c r="BG37" s="11" t="n">
        <x:f>ROUND((((AH37*2+AI37+AJ37+AK37+AL37*2+AM37+AN37+AO37)/10)+((AP37*2+AQ37+AR37+AS37+AT37*2+AU37+AV37+AW37)/10)*2)/3,2)</x:f>
        <x:v>6.37</x:v>
      </x:c>
      <x:c r="BH37" s="13" t="str">
        <x:f>IF(BE37&lt;5,"Y",IF(BE37&lt;6.5,"TB",IF(BE37&lt;8,"K",IF(BE37&lt;9,"G","XS"))))</x:f>
        <x:v>TB</x:v>
      </x:c>
      <x:c r="BI37" s="13" t="str">
        <x:f>IF(BF37&lt;5,"Y",IF(BF37&lt;6.5,"TB",IF(BF37&lt;8,"K",IF(BF37&lt;9,"G","XS"))))</x:f>
        <x:v>TB</x:v>
      </x:c>
      <x:c r="BJ37" s="13" t="str">
        <x:f>IF(BG37&lt;5,"Y",IF(BG37&lt;6.5,"TB",IF(BG37&lt;8,"K",IF(BG37&lt;9,"G","XS"))))</x:f>
        <x:v>TB</x:v>
      </x:c>
      <x:c r="BK37" s="11" t="n">
        <x:f>ROUND((BE37/10)*4,2)</x:f>
        <x:v>2.47</x:v>
      </x:c>
      <x:c r="BL37" s="11" t="n">
        <x:f>ROUND((BF37/10)*4,2)</x:f>
        <x:v>2.54</x:v>
      </x:c>
      <x:c r="BM37" s="11" t="n">
        <x:f>ROUND((BG37/10)*4,2)</x:f>
        <x:v>2.55</x:v>
      </x:c>
      <x:c r="BN37" s="13" t="n">
        <x:f>IF(IF(OR(BD37="A",BD37="A1"),(BA37*2+BB37+BC37)/4,IF(BD37="B",(BA37+BB37*2+BC37)/4,(BA37+BB37+BC37)/3))&gt;=5,1,0)</x:f>
        <x:v>0</x:v>
      </x:c>
    </x:row>
    <x:row r="38">
      <x:c r="A38" s="1" t="s">
        <x:v>229</x:v>
      </x:c>
      <x:c r="B38" s="1" t="s">
        <x:v>135</x:v>
      </x:c>
      <x:c r="C38" s="1" t="s">
        <x:v>154</x:v>
      </x:c>
      <x:c r="D38" s="1" t="s">
        <x:v>135</x:v>
      </x:c>
      <x:c r="E38" s="1" t="s">
        <x:v>133</x:v>
      </x:c>
      <x:c r="F38" s="1" t="s">
        <x:v>168</x:v>
      </x:c>
      <x:c r="G38" s="1" t="s">
        <x:v>127</x:v>
      </x:c>
      <x:c r="H38" s="1" t="s">
        <x:v>146</x:v>
      </x:c>
      <x:c r="I38" s="1" t="s">
        <x:v>158</x:v>
      </x:c>
      <x:c r="J38" s="1" t="s">
        <x:v>147</x:v>
      </x:c>
      <x:c r="K38" s="1" t="s">
        <x:v>156</x:v>
      </x:c>
      <x:c r="L38" s="1" t="s">
        <x:v>156</x:v>
      </x:c>
      <x:c r="M38" s="1" t="s">
        <x:v>130</x:v>
      </x:c>
      <x:c r="N38" s="1" t="s">
        <x:v>115</x:v>
      </x:c>
      <x:c r="O38" s="1" t="s">
        <x:v>135</x:v>
      </x:c>
      <x:c r="P38" s="1" t="s">
        <x:v>150</x:v>
      </x:c>
      <x:c r="Q38" s="1" t="s">
        <x:v>147</x:v>
      </x:c>
      <x:c r="R38" s="1" t="s">
        <x:v>132</x:v>
      </x:c>
      <x:c r="S38" s="1" t="s">
        <x:v>150</x:v>
      </x:c>
      <x:c r="T38" s="1" t="s">
        <x:v>150</x:v>
      </x:c>
      <x:c r="U38" s="1" t="s">
        <x:v>116</x:v>
      </x:c>
      <x:c r="V38" s="1" t="s">
        <x:v>161</x:v>
      </x:c>
      <x:c r="W38" s="1" t="s">
        <x:v>130</x:v>
      </x:c>
      <x:c r="X38" s="1" t="s">
        <x:v>114</x:v>
      </x:c>
      <x:c r="Y38" s="1" t="s">
        <x:v>133</x:v>
      </x:c>
      <x:c r="Z38" s="1" t="s">
        <x:v>133</x:v>
      </x:c>
      <x:c r="AA38" s="1" t="s">
        <x:v>151</x:v>
      </x:c>
      <x:c r="AB38" s="1" t="s">
        <x:v>169</x:v>
      </x:c>
      <x:c r="AC38" s="1" t="s">
        <x:v>159</x:v>
      </x:c>
      <x:c r="AD38" s="1" t="s">
        <x:v>130</x:v>
      </x:c>
      <x:c r="AE38" s="1" t="s">
        <x:v>144</x:v>
      </x:c>
      <x:c r="AF38" s="1" t="s">
        <x:v>159</x:v>
      </x:c>
      <x:c r="AG38" s="1" t="s">
        <x:v>121</x:v>
      </x:c>
      <x:c r="AH38" s="1" t="s">
        <x:v>129</x:v>
      </x:c>
      <x:c r="AI38" s="1" t="s">
        <x:v>130</x:v>
      </x:c>
      <x:c r="AJ38" s="1" t="s">
        <x:v>159</x:v>
      </x:c>
      <x:c r="AK38" s="1" t="s">
        <x:v>126</x:v>
      </x:c>
      <x:c r="AL38" s="1" t="s">
        <x:v>130</x:v>
      </x:c>
      <x:c r="AM38" s="1" t="s">
        <x:v>118</x:v>
      </x:c>
      <x:c r="AN38" s="1" t="s">
        <x:v>150</x:v>
      </x:c>
      <x:c r="AO38" s="1" t="s">
        <x:v>131</x:v>
      </x:c>
      <x:c r="AP38" s="1" t="s">
        <x:v>127</x:v>
      </x:c>
      <x:c r="AQ38" s="1" t="s">
        <x:v>133</x:v>
      </x:c>
      <x:c r="AR38" s="1" t="s">
        <x:v>116</x:v>
      </x:c>
      <x:c r="AS38" s="1" t="s">
        <x:v>123</x:v>
      </x:c>
      <x:c r="AT38" s="1" t="s">
        <x:v>168</x:v>
      </x:c>
      <x:c r="AU38" s="1" t="s">
        <x:v>121</x:v>
      </x:c>
      <x:c r="AV38" s="1" t="s">
        <x:v>161</x:v>
      </x:c>
      <x:c r="AW38" s="1" t="s">
        <x:v>118</x:v>
      </x:c>
      <x:c r="AX38" s="1" t="s">
        <x:v>160</x:v>
      </x:c>
      <x:c r="AY38" s="1" t="s">
        <x:v>138</x:v>
      </x:c>
      <x:c r="AZ38" s="1" t="s">
        <x:v>143</x:v>
      </x:c>
      <x:c r="BA38" s="1" t="s">
        <x:v>167</x:v>
      </x:c>
      <x:c r="BB38" s="1" t="s">
        <x:v>134</x:v>
      </x:c>
      <x:c r="BC38" s="1" t="s">
        <x:v>134</x:v>
      </x:c>
      <x:c r="BD38" s="1" t="s">
        <x:v>178</x:v>
      </x:c>
      <x:c r="BE38" s="11" t="n">
        <x:f>ROUND((((B38*2+C38+D38+E38+F38*2+G38+H38+I38)/10)+((J38*2+K38+L38+M38+N38*2+O38+P38+Q38)/10)*2)/3,2)</x:f>
        <x:v>5.65</x:v>
      </x:c>
      <x:c r="BF38" s="11" t="n">
        <x:f>ROUND((((R38*2+S38+T38+U38+V38*2+W38+X38+Y38)/10)+((Z38*2+AA38+AB38+AC38+AD38*2+AE38+AF38+AG38)/10)*2)/3,2)</x:f>
        <x:v>5.73</x:v>
      </x:c>
      <x:c r="BG38" s="11" t="n">
        <x:f>ROUND((((AH38*2+AI38+AJ38+AK38+AL38*2+AM38+AN38+AO38)/10)+((AP38*2+AQ38+AR38+AS38+AT38*2+AU38+AV38+AW38)/10)*2)/3,2)</x:f>
        <x:v>6.2</x:v>
      </x:c>
      <x:c r="BH38" s="13" t="str">
        <x:f>IF(BE38&lt;5,"Y",IF(BE38&lt;6.5,"TB",IF(BE38&lt;8,"K",IF(BE38&lt;9,"G","XS"))))</x:f>
        <x:v>TB</x:v>
      </x:c>
      <x:c r="BI38" s="13" t="str">
        <x:f>IF(BF38&lt;5,"Y",IF(BF38&lt;6.5,"TB",IF(BF38&lt;8,"K",IF(BF38&lt;9,"G","XS"))))</x:f>
        <x:v>TB</x:v>
      </x:c>
      <x:c r="BJ38" s="13" t="str">
        <x:f>IF(BG38&lt;5,"Y",IF(BG38&lt;6.5,"TB",IF(BG38&lt;8,"K",IF(BG38&lt;9,"G","XS"))))</x:f>
        <x:v>TB</x:v>
      </x:c>
      <x:c r="BK38" s="11" t="n">
        <x:f>ROUND((BE38/10)*4,2)</x:f>
        <x:v>2.26</x:v>
      </x:c>
      <x:c r="BL38" s="11" t="n">
        <x:f>ROUND((BF38/10)*4,2)</x:f>
        <x:v>2.29</x:v>
      </x:c>
      <x:c r="BM38" s="11" t="n">
        <x:f>ROUND((BG38/10)*4,2)</x:f>
        <x:v>2.48</x:v>
      </x:c>
      <x:c r="BN38" s="13" t="n">
        <x:f>IF(IF(OR(BD38="A",BD38="A1"),(BA38*2+BB38+BC38)/4,IF(BD38="B",(BA38+BB38*2+BC38)/4,(BA38+BB38+BC38)/3))&gt;=5,1,0)</x:f>
        <x:v>0</x:v>
      </x:c>
    </x:row>
    <x:row r="39">
      <x:c r="A39" s="1" t="s">
        <x:v>230</x:v>
      </x:c>
      <x:c r="B39" s="1" t="s">
        <x:v>114</x:v>
      </x:c>
      <x:c r="C39" s="1" t="s">
        <x:v>170</x:v>
      </x:c>
      <x:c r="D39" s="1" t="s">
        <x:v>155</x:v>
      </x:c>
      <x:c r="E39" s="1" t="s">
        <x:v>158</x:v>
      </x:c>
      <x:c r="F39" s="1" t="s">
        <x:v>146</x:v>
      </x:c>
      <x:c r="G39" s="1" t="s">
        <x:v>156</x:v>
      </x:c>
      <x:c r="H39" s="1" t="s">
        <x:v>121</x:v>
      </x:c>
      <x:c r="I39" s="1" t="s">
        <x:v>199</x:v>
      </x:c>
      <x:c r="J39" s="1" t="s">
        <x:v>165</x:v>
      </x:c>
      <x:c r="K39" s="1" t="s">
        <x:v>121</x:v>
      </x:c>
      <x:c r="L39" s="1" t="s">
        <x:v>227</x:v>
      </x:c>
      <x:c r="M39" s="1" t="s">
        <x:v>186</x:v>
      </x:c>
      <x:c r="N39" s="1" t="s">
        <x:v>155</x:v>
      </x:c>
      <x:c r="O39" s="1" t="s">
        <x:v>184</x:v>
      </x:c>
      <x:c r="P39" s="1" t="s">
        <x:v>129</x:v>
      </x:c>
      <x:c r="Q39" s="1" t="s">
        <x:v>152</x:v>
      </x:c>
      <x:c r="R39" s="1" t="s">
        <x:v>177</x:v>
      </x:c>
      <x:c r="S39" s="1" t="s">
        <x:v>115</x:v>
      </x:c>
      <x:c r="T39" s="1" t="s">
        <x:v>170</x:v>
      </x:c>
      <x:c r="U39" s="1" t="s">
        <x:v>164</x:v>
      </x:c>
      <x:c r="V39" s="1" t="s">
        <x:v>150</x:v>
      </x:c>
      <x:c r="W39" s="1" t="s">
        <x:v>164</x:v>
      </x:c>
      <x:c r="X39" s="1" t="s">
        <x:v>136</x:v>
      </x:c>
      <x:c r="Y39" s="1" t="s">
        <x:v>213</x:v>
      </x:c>
      <x:c r="Z39" s="1" t="s">
        <x:v>174</x:v>
      </x:c>
      <x:c r="AA39" s="1" t="s">
        <x:v>144</x:v>
      </x:c>
      <x:c r="AB39" s="1" t="s">
        <x:v>166</x:v>
      </x:c>
      <x:c r="AC39" s="1" t="s">
        <x:v>165</x:v>
      </x:c>
      <x:c r="AD39" s="1" t="s">
        <x:v>147</x:v>
      </x:c>
      <x:c r="AE39" s="1" t="s">
        <x:v>117</x:v>
      </x:c>
      <x:c r="AF39" s="1" t="s">
        <x:v>181</x:v>
      </x:c>
      <x:c r="AG39" s="1" t="s">
        <x:v>133</x:v>
      </x:c>
      <x:c r="AH39" s="1" t="s">
        <x:v>181</x:v>
      </x:c>
      <x:c r="AI39" s="1" t="s">
        <x:v>158</x:v>
      </x:c>
      <x:c r="AJ39" s="1" t="s">
        <x:v>134</x:v>
      </x:c>
      <x:c r="AK39" s="1" t="s">
        <x:v>161</x:v>
      </x:c>
      <x:c r="AL39" s="1" t="s">
        <x:v>151</x:v>
      </x:c>
      <x:c r="AM39" s="1" t="s">
        <x:v>158</x:v>
      </x:c>
      <x:c r="AN39" s="1" t="s">
        <x:v>123</x:v>
      </x:c>
      <x:c r="AO39" s="1" t="s">
        <x:v>170</x:v>
      </x:c>
      <x:c r="AP39" s="1" t="s">
        <x:v>128</x:v>
      </x:c>
      <x:c r="AQ39" s="1" t="s">
        <x:v>161</x:v>
      </x:c>
      <x:c r="AR39" s="1" t="s">
        <x:v>129</x:v>
      </x:c>
      <x:c r="AS39" s="1" t="s">
        <x:v>129</x:v>
      </x:c>
      <x:c r="AT39" s="1" t="s">
        <x:v>150</x:v>
      </x:c>
      <x:c r="AU39" s="1" t="s">
        <x:v>175</x:v>
      </x:c>
      <x:c r="AV39" s="1" t="s">
        <x:v>127</x:v>
      </x:c>
      <x:c r="AW39" s="1" t="s">
        <x:v>134</x:v>
      </x:c>
      <x:c r="AX39" s="1" t="s">
        <x:v>160</x:v>
      </x:c>
      <x:c r="AY39" s="1" t="s">
        <x:v>138</x:v>
      </x:c>
      <x:c r="AZ39" s="1" t="s">
        <x:v>112</x:v>
      </x:c>
      <x:c r="BA39" s="1" t="s">
        <x:v>172</x:v>
      </x:c>
      <x:c r="BB39" s="1" t="s">
        <x:v>162</x:v>
      </x:c>
      <x:c r="BC39" s="1" t="s">
        <x:v>196</x:v>
      </x:c>
      <x:c r="BD39" s="1" t="s">
        <x:v>178</x:v>
      </x:c>
      <x:c r="BE39" s="11" t="n">
        <x:f>ROUND((((B39*2+C39+D39+E39+F39*2+G39+H39+I39)/10)+((J39*2+K39+L39+M39+N39*2+O39+P39+Q39)/10)*2)/3,2)</x:f>
        <x:v>5.83</x:v>
      </x:c>
      <x:c r="BF39" s="11" t="n">
        <x:f>ROUND((((R39*2+S39+T39+U39+V39*2+W39+X39+Y39)/10)+((Z39*2+AA39+AB39+AC39+AD39*2+AE39+AF39+AG39)/10)*2)/3,2)</x:f>
        <x:v>6.47</x:v>
      </x:c>
      <x:c r="BG39" s="11" t="n">
        <x:f>ROUND((((AH39*2+AI39+AJ39+AK39+AL39*2+AM39+AN39+AO39)/10)+((AP39*2+AQ39+AR39+AS39+AT39*2+AU39+AV39+AW39)/10)*2)/3,2)</x:f>
        <x:v>6.26</x:v>
      </x:c>
      <x:c r="BH39" s="13" t="str">
        <x:f>IF(BE39&lt;5,"Y",IF(BE39&lt;6.5,"TB",IF(BE39&lt;8,"K",IF(BE39&lt;9,"G","XS"))))</x:f>
        <x:v>TB</x:v>
      </x:c>
      <x:c r="BI39" s="13" t="str">
        <x:f>IF(BF39&lt;5,"Y",IF(BF39&lt;6.5,"TB",IF(BF39&lt;8,"K",IF(BF39&lt;9,"G","XS"))))</x:f>
        <x:v>TB</x:v>
      </x:c>
      <x:c r="BJ39" s="13" t="str">
        <x:f>IF(BG39&lt;5,"Y",IF(BG39&lt;6.5,"TB",IF(BG39&lt;8,"K",IF(BG39&lt;9,"G","XS"))))</x:f>
        <x:v>TB</x:v>
      </x:c>
      <x:c r="BK39" s="11" t="n">
        <x:f>ROUND((BE39/10)*4,2)</x:f>
        <x:v>2.33</x:v>
      </x:c>
      <x:c r="BL39" s="11" t="n">
        <x:f>ROUND((BF39/10)*4,2)</x:f>
        <x:v>2.59</x:v>
      </x:c>
      <x:c r="BM39" s="11" t="n">
        <x:f>ROUND((BG39/10)*4,2)</x:f>
        <x:v>2.5</x:v>
      </x:c>
      <x:c r="BN39" s="13" t="n">
        <x:f>IF(IF(OR(BD39="A",BD39="A1"),(BA39*2+BB39+BC39)/4,IF(BD39="B",(BA39+BB39*2+BC39)/4,(BA39+BB39+BC39)/3))&gt;=5,1,0)</x:f>
        <x:v>0</x:v>
      </x:c>
    </x:row>
    <x:row r="40">
      <x:c r="A40" s="1" t="s">
        <x:v>231</x:v>
      </x:c>
      <x:c r="B40" s="1" t="s">
        <x:v>199</x:v>
      </x:c>
      <x:c r="C40" s="1" t="s">
        <x:v>195</x:v>
      </x:c>
      <x:c r="D40" s="1" t="s">
        <x:v>153</x:v>
      </x:c>
      <x:c r="E40" s="1" t="s">
        <x:v>154</x:v>
      </x:c>
      <x:c r="F40" s="1" t="s">
        <x:v>132</x:v>
      </x:c>
      <x:c r="G40" s="1" t="s">
        <x:v>158</x:v>
      </x:c>
      <x:c r="H40" s="1" t="s">
        <x:v>150</x:v>
      </x:c>
      <x:c r="I40" s="1" t="s">
        <x:v>154</x:v>
      </x:c>
      <x:c r="J40" s="1" t="s">
        <x:v>154</x:v>
      </x:c>
      <x:c r="K40" s="1" t="s">
        <x:v>130</x:v>
      </x:c>
      <x:c r="L40" s="1" t="s">
        <x:v>170</x:v>
      </x:c>
      <x:c r="M40" s="1" t="s">
        <x:v>144</x:v>
      </x:c>
      <x:c r="N40" s="1" t="s">
        <x:v>134</x:v>
      </x:c>
      <x:c r="O40" s="1" t="s">
        <x:v>159</x:v>
      </x:c>
      <x:c r="P40" s="1" t="s">
        <x:v>133</x:v>
      </x:c>
      <x:c r="Q40" s="1" t="s">
        <x:v>147</x:v>
      </x:c>
      <x:c r="R40" s="1" t="s">
        <x:v>121</x:v>
      </x:c>
      <x:c r="S40" s="1" t="s">
        <x:v>170</x:v>
      </x:c>
      <x:c r="T40" s="1" t="s">
        <x:v>154</x:v>
      </x:c>
      <x:c r="U40" s="1" t="s">
        <x:v>131</x:v>
      </x:c>
      <x:c r="V40" s="1" t="s">
        <x:v>126</x:v>
      </x:c>
      <x:c r="W40" s="1" t="s">
        <x:v>121</x:v>
      </x:c>
      <x:c r="X40" s="1" t="s">
        <x:v>156</x:v>
      </x:c>
      <x:c r="Y40" s="1" t="s">
        <x:v>133</x:v>
      </x:c>
      <x:c r="Z40" s="1" t="s">
        <x:v>157</x:v>
      </x:c>
      <x:c r="AA40" s="1" t="s">
        <x:v>152</x:v>
      </x:c>
      <x:c r="AB40" s="1" t="s">
        <x:v>145</x:v>
      </x:c>
      <x:c r="AC40" s="1" t="s">
        <x:v>130</x:v>
      </x:c>
      <x:c r="AD40" s="1" t="s">
        <x:v>156</x:v>
      </x:c>
      <x:c r="AE40" s="1" t="s">
        <x:v>147</x:v>
      </x:c>
      <x:c r="AF40" s="1" t="s">
        <x:v>121</x:v>
      </x:c>
      <x:c r="AG40" s="1" t="s">
        <x:v>135</x:v>
      </x:c>
      <x:c r="AH40" s="1" t="s">
        <x:v>149</x:v>
      </x:c>
      <x:c r="AI40" s="1" t="s">
        <x:v>132</x:v>
      </x:c>
      <x:c r="AJ40" s="1" t="s">
        <x:v>123</x:v>
      </x:c>
      <x:c r="AK40" s="1" t="s">
        <x:v>156</x:v>
      </x:c>
      <x:c r="AL40" s="1" t="s">
        <x:v>133</x:v>
      </x:c>
      <x:c r="AM40" s="1" t="s">
        <x:v>154</x:v>
      </x:c>
      <x:c r="AN40" s="1" t="s">
        <x:v>147</x:v>
      </x:c>
      <x:c r="AO40" s="1" t="s">
        <x:v>115</x:v>
      </x:c>
      <x:c r="AP40" s="1" t="s">
        <x:v>153</x:v>
      </x:c>
      <x:c r="AQ40" s="1" t="s">
        <x:v>159</x:v>
      </x:c>
      <x:c r="AR40" s="1" t="s">
        <x:v>164</x:v>
      </x:c>
      <x:c r="AS40" s="1" t="s">
        <x:v>123</x:v>
      </x:c>
      <x:c r="AT40" s="1" t="s">
        <x:v>121</x:v>
      </x:c>
      <x:c r="AU40" s="1" t="s">
        <x:v>130</x:v>
      </x:c>
      <x:c r="AV40" s="1" t="s">
        <x:v>150</x:v>
      </x:c>
      <x:c r="AW40" s="1" t="s">
        <x:v>121</x:v>
      </x:c>
      <x:c r="AX40" s="1" t="s">
        <x:v>160</x:v>
      </x:c>
      <x:c r="AY40" s="1" t="s">
        <x:v>138</x:v>
      </x:c>
      <x:c r="AZ40" s="1" t="s">
        <x:v>143</x:v>
      </x:c>
      <x:c r="BA40" s="1" t="s">
        <x:v>214</x:v>
      </x:c>
      <x:c r="BB40" s="1" t="s">
        <x:v>173</x:v>
      </x:c>
      <x:c r="BC40" s="1" t="s">
        <x:v>141</x:v>
      </x:c>
      <x:c r="BD40" s="1" t="s">
        <x:v>178</x:v>
      </x:c>
      <x:c r="BE40" s="11" t="n">
        <x:f>ROUND((((B40*2+C40+D40+E40+F40*2+G40+H40+I40)/10)+((J40*2+K40+L40+M40+N40*2+O40+P40+Q40)/10)*2)/3,2)</x:f>
        <x:v>5.01</x:v>
      </x:c>
      <x:c r="BF40" s="11" t="n">
        <x:f>ROUND((((R40*2+S40+T40+U40+V40*2+W40+X40+Y40)/10)+((Z40*2+AA40+AB40+AC40+AD40*2+AE40+AF40+AG40)/10)*2)/3,2)</x:f>
        <x:v>4.94</x:v>
      </x:c>
      <x:c r="BG40" s="11" t="n">
        <x:f>ROUND((((AH40*2+AI40+AJ40+AK40+AL40*2+AM40+AN40+AO40)/10)+((AP40*2+AQ40+AR40+AS40+AT40*2+AU40+AV40+AW40)/10)*2)/3,2)</x:f>
        <x:v>5.42</x:v>
      </x:c>
      <x:c r="BH40" s="13" t="str">
        <x:f>IF(BE40&lt;5,"Y",IF(BE40&lt;6.5,"TB",IF(BE40&lt;8,"K",IF(BE40&lt;9,"G","XS"))))</x:f>
        <x:v>TB</x:v>
      </x:c>
      <x:c r="BI40" s="13" t="str">
        <x:f>IF(BF40&lt;5,"Y",IF(BF40&lt;6.5,"TB",IF(BF40&lt;8,"K",IF(BF40&lt;9,"G","XS"))))</x:f>
        <x:v>Y</x:v>
      </x:c>
      <x:c r="BJ40" s="13" t="str">
        <x:f>IF(BG40&lt;5,"Y",IF(BG40&lt;6.5,"TB",IF(BG40&lt;8,"K",IF(BG40&lt;9,"G","XS"))))</x:f>
        <x:v>TB</x:v>
      </x:c>
      <x:c r="BK40" s="11" t="n">
        <x:f>ROUND((BE40/10)*4,2)</x:f>
        <x:v>2</x:v>
      </x:c>
      <x:c r="BL40" s="11" t="n">
        <x:f>ROUND((BF40/10)*4,2)</x:f>
        <x:v>1.98</x:v>
      </x:c>
      <x:c r="BM40" s="11" t="n">
        <x:f>ROUND((BG40/10)*4,2)</x:f>
        <x:v>2.17</x:v>
      </x:c>
      <x:c r="BN40" s="13" t="n">
        <x:f>IF(IF(OR(BD40="A",BD40="A1"),(BA40*2+BB40+BC40)/4,IF(BD40="B",(BA40+BB40*2+BC40)/4,(BA40+BB40+BC40)/3))&gt;=5,1,0)</x:f>
        <x:v>0</x:v>
      </x:c>
    </x:row>
    <x:row r="41">
      <x:c r="A41" s="1" t="s">
        <x:v>232</x:v>
      </x:c>
      <x:c r="B41" s="1" t="s">
        <x:v>154</x:v>
      </x:c>
      <x:c r="C41" s="1" t="s">
        <x:v>131</x:v>
      </x:c>
      <x:c r="D41" s="1" t="s">
        <x:v>126</x:v>
      </x:c>
      <x:c r="E41" s="1" t="s">
        <x:v>168</x:v>
      </x:c>
      <x:c r="F41" s="1" t="s">
        <x:v>130</x:v>
      </x:c>
      <x:c r="G41" s="1" t="s">
        <x:v>159</x:v>
      </x:c>
      <x:c r="H41" s="1" t="s">
        <x:v>113</x:v>
      </x:c>
      <x:c r="I41" s="1" t="s">
        <x:v>151</x:v>
      </x:c>
      <x:c r="J41" s="1" t="s">
        <x:v>154</x:v>
      </x:c>
      <x:c r="K41" s="1" t="s">
        <x:v>211</x:v>
      </x:c>
      <x:c r="L41" s="1" t="s">
        <x:v>165</x:v>
      </x:c>
      <x:c r="M41" s="1" t="s">
        <x:v>129</x:v>
      </x:c>
      <x:c r="N41" s="1" t="s">
        <x:v>133</x:v>
      </x:c>
      <x:c r="O41" s="1" t="s">
        <x:v>156</x:v>
      </x:c>
      <x:c r="P41" s="1" t="s">
        <x:v>131</x:v>
      </x:c>
      <x:c r="Q41" s="1" t="s">
        <x:v>155</x:v>
      </x:c>
      <x:c r="R41" s="1" t="s">
        <x:v>156</x:v>
      </x:c>
      <x:c r="S41" s="1" t="s">
        <x:v>134</x:v>
      </x:c>
      <x:c r="T41" s="1" t="s">
        <x:v>164</x:v>
      </x:c>
      <x:c r="U41" s="1" t="s">
        <x:v>155</x:v>
      </x:c>
      <x:c r="V41" s="1" t="s">
        <x:v>152</x:v>
      </x:c>
      <x:c r="W41" s="1" t="s">
        <x:v>168</x:v>
      </x:c>
      <x:c r="X41" s="1" t="s">
        <x:v>131</x:v>
      </x:c>
      <x:c r="Y41" s="1" t="s">
        <x:v>141</x:v>
      </x:c>
      <x:c r="Z41" s="1" t="s">
        <x:v>131</x:v>
      </x:c>
      <x:c r="AA41" s="1" t="s">
        <x:v>118</x:v>
      </x:c>
      <x:c r="AB41" s="1" t="s">
        <x:v>113</x:v>
      </x:c>
      <x:c r="AC41" s="1" t="s">
        <x:v>118</x:v>
      </x:c>
      <x:c r="AD41" s="1" t="s">
        <x:v>141</x:v>
      </x:c>
      <x:c r="AE41" s="1" t="s">
        <x:v>161</x:v>
      </x:c>
      <x:c r="AF41" s="1" t="s">
        <x:v>166</x:v>
      </x:c>
      <x:c r="AG41" s="1" t="s">
        <x:v>152</x:v>
      </x:c>
      <x:c r="AH41" s="1" t="s">
        <x:v>121</x:v>
      </x:c>
      <x:c r="AI41" s="1" t="s">
        <x:v>162</x:v>
      </x:c>
      <x:c r="AJ41" s="1" t="s">
        <x:v>118</x:v>
      </x:c>
      <x:c r="AK41" s="1" t="s">
        <x:v>121</x:v>
      </x:c>
      <x:c r="AL41" s="1" t="s">
        <x:v>150</x:v>
      </x:c>
      <x:c r="AM41" s="1" t="s">
        <x:v>123</x:v>
      </x:c>
      <x:c r="AN41" s="1" t="s">
        <x:v>164</x:v>
      </x:c>
      <x:c r="AO41" s="1" t="s">
        <x:v>145</x:v>
      </x:c>
      <x:c r="AP41" s="1" t="s">
        <x:v>121</x:v>
      </x:c>
      <x:c r="AQ41" s="1" t="s">
        <x:v>146</x:v>
      </x:c>
      <x:c r="AR41" s="1" t="s">
        <x:v>116</x:v>
      </x:c>
      <x:c r="AS41" s="1" t="s">
        <x:v>118</x:v>
      </x:c>
      <x:c r="AT41" s="1" t="s">
        <x:v>126</x:v>
      </x:c>
      <x:c r="AU41" s="1" t="s">
        <x:v>135</x:v>
      </x:c>
      <x:c r="AV41" s="1" t="s">
        <x:v>123</x:v>
      </x:c>
      <x:c r="AW41" s="1" t="s">
        <x:v>195</x:v>
      </x:c>
      <x:c r="AX41" s="1" t="s">
        <x:v>160</x:v>
      </x:c>
      <x:c r="AY41" s="1" t="s">
        <x:v>138</x:v>
      </x:c>
      <x:c r="AZ41" s="1" t="s">
        <x:v>112</x:v>
      </x:c>
      <x:c r="BA41" s="1" t="s">
        <x:v>143</x:v>
      </x:c>
      <x:c r="BB41" s="1" t="s">
        <x:v>157</x:v>
      </x:c>
      <x:c r="BC41" s="1" t="s">
        <x:v>173</x:v>
      </x:c>
      <x:c r="BD41" s="1" t="s">
        <x:v>178</x:v>
      </x:c>
      <x:c r="BE41" s="11" t="n">
        <x:f>ROUND((((B41*2+C41+D41+E41+F41*2+G41+H41+I41)/10)+((J41*2+K41+L41+M41+N41*2+O41+P41+Q41)/10)*2)/3,2)</x:f>
        <x:v>5.39</x:v>
      </x:c>
      <x:c r="BF41" s="11" t="n">
        <x:f>ROUND((((R41*2+S41+T41+U41+V41*2+W41+X41+Y41)/10)+((Z41*2+AA41+AB41+AC41+AD41*2+AE41+AF41+AG41)/10)*2)/3,2)</x:f>
        <x:v>5.33</x:v>
      </x:c>
      <x:c r="BG41" s="11" t="n">
        <x:f>ROUND((((AH41*2+AI41+AJ41+AK41+AL41*2+AM41+AN41+AO41)/10)+((AP41*2+AQ41+AR41+AS41+AT41*2+AU41+AV41+AW41)/10)*2)/3,2)</x:f>
        <x:v>5.49</x:v>
      </x:c>
      <x:c r="BH41" s="13" t="str">
        <x:f>IF(BE41&lt;5,"Y",IF(BE41&lt;6.5,"TB",IF(BE41&lt;8,"K",IF(BE41&lt;9,"G","XS"))))</x:f>
        <x:v>TB</x:v>
      </x:c>
      <x:c r="BI41" s="13" t="str">
        <x:f>IF(BF41&lt;5,"Y",IF(BF41&lt;6.5,"TB",IF(BF41&lt;8,"K",IF(BF41&lt;9,"G","XS"))))</x:f>
        <x:v>TB</x:v>
      </x:c>
      <x:c r="BJ41" s="13" t="str">
        <x:f>IF(BG41&lt;5,"Y",IF(BG41&lt;6.5,"TB",IF(BG41&lt;8,"K",IF(BG41&lt;9,"G","XS"))))</x:f>
        <x:v>TB</x:v>
      </x:c>
      <x:c r="BK41" s="11" t="n">
        <x:f>ROUND((BE41/10)*4,2)</x:f>
        <x:v>2.16</x:v>
      </x:c>
      <x:c r="BL41" s="11" t="n">
        <x:f>ROUND((BF41/10)*4,2)</x:f>
        <x:v>2.13</x:v>
      </x:c>
      <x:c r="BM41" s="11" t="n">
        <x:f>ROUND((BG41/10)*4,2)</x:f>
        <x:v>2.2</x:v>
      </x:c>
      <x:c r="BN41" s="13" t="n">
        <x:f>IF(IF(OR(BD41="A",BD41="A1"),(BA41*2+BB41+BC41)/4,IF(BD41="B",(BA41+BB41*2+BC41)/4,(BA41+BB41+BC41)/3))&gt;=5,1,0)</x:f>
        <x:v>0</x:v>
      </x:c>
    </x:row>
    <x:row r="42">
      <x:c r="A42" s="1" t="s">
        <x:v>233</x:v>
      </x:c>
      <x:c r="B42" s="1" t="s">
        <x:v>151</x:v>
      </x:c>
      <x:c r="C42" s="1" t="s">
        <x:v>134</x:v>
      </x:c>
      <x:c r="D42" s="1" t="s">
        <x:v>170</x:v>
      </x:c>
      <x:c r="E42" s="1" t="s">
        <x:v>234</x:v>
      </x:c>
      <x:c r="F42" s="1" t="s">
        <x:v>227</x:v>
      </x:c>
      <x:c r="G42" s="1" t="s">
        <x:v>132</x:v>
      </x:c>
      <x:c r="H42" s="1" t="s">
        <x:v>165</x:v>
      </x:c>
      <x:c r="I42" s="1" t="s">
        <x:v>152</x:v>
      </x:c>
      <x:c r="J42" s="1" t="s">
        <x:v>147</x:v>
      </x:c>
      <x:c r="K42" s="1" t="s">
        <x:v>123</x:v>
      </x:c>
      <x:c r="L42" s="1" t="s">
        <x:v>164</x:v>
      </x:c>
      <x:c r="M42" s="1" t="s">
        <x:v>121</x:v>
      </x:c>
      <x:c r="N42" s="1" t="s">
        <x:v>146</x:v>
      </x:c>
      <x:c r="O42" s="1" t="s">
        <x:v>125</x:v>
      </x:c>
      <x:c r="P42" s="1" t="s">
        <x:v>166</x:v>
      </x:c>
      <x:c r="Q42" s="1" t="s">
        <x:v>151</x:v>
      </x:c>
      <x:c r="R42" s="1" t="s">
        <x:v>114</x:v>
      </x:c>
      <x:c r="S42" s="1" t="s">
        <x:v>168</x:v>
      </x:c>
      <x:c r="T42" s="1" t="s">
        <x:v>115</x:v>
      </x:c>
      <x:c r="U42" s="1" t="s">
        <x:v>114</x:v>
      </x:c>
      <x:c r="V42" s="1" t="s">
        <x:v>141</x:v>
      </x:c>
      <x:c r="W42" s="1" t="s">
        <x:v>168</x:v>
      </x:c>
      <x:c r="X42" s="1" t="s">
        <x:v>115</x:v>
      </x:c>
      <x:c r="Y42" s="1" t="s">
        <x:v>126</x:v>
      </x:c>
      <x:c r="Z42" s="1" t="s">
        <x:v>174</x:v>
      </x:c>
      <x:c r="AA42" s="1" t="s">
        <x:v>118</x:v>
      </x:c>
      <x:c r="AB42" s="1" t="s">
        <x:v>115</x:v>
      </x:c>
      <x:c r="AC42" s="1" t="s">
        <x:v>132</x:v>
      </x:c>
      <x:c r="AD42" s="1" t="s">
        <x:v>151</x:v>
      </x:c>
      <x:c r="AE42" s="1" t="s">
        <x:v>168</x:v>
      </x:c>
      <x:c r="AF42" s="1" t="s">
        <x:v>123</x:v>
      </x:c>
      <x:c r="AG42" s="1" t="s">
        <x:v>147</x:v>
      </x:c>
      <x:c r="AH42" s="1" t="s">
        <x:v>125</x:v>
      </x:c>
      <x:c r="AI42" s="1" t="s">
        <x:v>156</x:v>
      </x:c>
      <x:c r="AJ42" s="1" t="s">
        <x:v>164</x:v>
      </x:c>
      <x:c r="AK42" s="1" t="s">
        <x:v>136</x:v>
      </x:c>
      <x:c r="AL42" s="1" t="s">
        <x:v>131</x:v>
      </x:c>
      <x:c r="AM42" s="1" t="s">
        <x:v>123</x:v>
      </x:c>
      <x:c r="AN42" s="1" t="s">
        <x:v>123</x:v>
      </x:c>
      <x:c r="AO42" s="1" t="s">
        <x:v>118</x:v>
      </x:c>
      <x:c r="AP42" s="1" t="s">
        <x:v>129</x:v>
      </x:c>
      <x:c r="AQ42" s="1" t="s">
        <x:v>166</x:v>
      </x:c>
      <x:c r="AR42" s="1" t="s">
        <x:v>114</x:v>
      </x:c>
      <x:c r="AS42" s="1" t="s">
        <x:v>116</x:v>
      </x:c>
      <x:c r="AT42" s="1" t="s">
        <x:v>127</x:v>
      </x:c>
      <x:c r="AU42" s="1" t="s">
        <x:v>136</x:v>
      </x:c>
      <x:c r="AV42" s="1" t="s">
        <x:v>166</x:v>
      </x:c>
      <x:c r="AW42" s="1" t="s">
        <x:v>134</x:v>
      </x:c>
      <x:c r="AX42" s="1" t="s">
        <x:v>160</x:v>
      </x:c>
      <x:c r="AY42" s="1" t="s">
        <x:v>138</x:v>
      </x:c>
      <x:c r="AZ42" s="1" t="s">
        <x:v>112</x:v>
      </x:c>
      <x:c r="BA42" s="1" t="s">
        <x:v>196</x:v>
      </x:c>
      <x:c r="BB42" s="1" t="s">
        <x:v>146</x:v>
      </x:c>
      <x:c r="BC42" s="1" t="s">
        <x:v>146</x:v>
      </x:c>
      <x:c r="BD42" s="1" t="s">
        <x:v>142</x:v>
      </x:c>
      <x:c r="BE42" s="11" t="n">
        <x:f>ROUND((((B42*2+C42+D42+E42+F42*2+G42+H42+I42)/10)+((J42*2+K42+L42+M42+N42*2+O42+P42+Q42)/10)*2)/3,2)</x:f>
        <x:v>5.18</x:v>
      </x:c>
      <x:c r="BF42" s="11" t="n">
        <x:f>ROUND((((R42*2+S42+T42+U42+V42*2+W42+X42+Y42)/10)+((Z42*2+AA42+AB42+AC42+AD42*2+AE42+AF42+AG42)/10)*2)/3,2)</x:f>
        <x:v>6.06</x:v>
      </x:c>
      <x:c r="BG42" s="11" t="n">
        <x:f>ROUND((((AH42*2+AI42+AJ42+AK42+AL42*2+AM42+AN42+AO42)/10)+((AP42*2+AQ42+AR42+AS42+AT42*2+AU42+AV42+AW42)/10)*2)/3,2)</x:f>
        <x:v>6.63</x:v>
      </x:c>
      <x:c r="BH42" s="13" t="str">
        <x:f>IF(BE42&lt;5,"Y",IF(BE42&lt;6.5,"TB",IF(BE42&lt;8,"K",IF(BE42&lt;9,"G","XS"))))</x:f>
        <x:v>TB</x:v>
      </x:c>
      <x:c r="BI42" s="13" t="str">
        <x:f>IF(BF42&lt;5,"Y",IF(BF42&lt;6.5,"TB",IF(BF42&lt;8,"K",IF(BF42&lt;9,"G","XS"))))</x:f>
        <x:v>TB</x:v>
      </x:c>
      <x:c r="BJ42" s="13" t="str">
        <x:f>IF(BG42&lt;5,"Y",IF(BG42&lt;6.5,"TB",IF(BG42&lt;8,"K",IF(BG42&lt;9,"G","XS"))))</x:f>
        <x:v>K</x:v>
      </x:c>
      <x:c r="BK42" s="11" t="n">
        <x:f>ROUND((BE42/10)*4,2)</x:f>
        <x:v>2.07</x:v>
      </x:c>
      <x:c r="BL42" s="11" t="n">
        <x:f>ROUND((BF42/10)*4,2)</x:f>
        <x:v>2.42</x:v>
      </x:c>
      <x:c r="BM42" s="11" t="n">
        <x:f>ROUND((BG42/10)*4,2)</x:f>
        <x:v>2.65</x:v>
      </x:c>
      <x:c r="BN42" s="13" t="n">
        <x:f>IF(IF(OR(BD42="A",BD42="A1"),(BA42*2+BB42+BC42)/4,IF(BD42="B",(BA42+BB42*2+BC42)/4,(BA42+BB42+BC42)/3))&gt;=5,1,0)</x:f>
        <x:v>0</x:v>
      </x:c>
    </x:row>
    <x:row r="43">
      <x:c r="A43" s="1" t="s">
        <x:v>235</x:v>
      </x:c>
      <x:c r="B43" s="1" t="s">
        <x:v>147</x:v>
      </x:c>
      <x:c r="C43" s="1" t="s">
        <x:v>115</x:v>
      </x:c>
      <x:c r="D43" s="1" t="s">
        <x:v>119</x:v>
      </x:c>
      <x:c r="E43" s="1" t="s">
        <x:v>114</x:v>
      </x:c>
      <x:c r="F43" s="1" t="s">
        <x:v>121</x:v>
      </x:c>
      <x:c r="G43" s="1" t="s">
        <x:v>184</x:v>
      </x:c>
      <x:c r="H43" s="1" t="s">
        <x:v>136</x:v>
      </x:c>
      <x:c r="I43" s="1" t="s">
        <x:v>181</x:v>
      </x:c>
      <x:c r="J43" s="1" t="s">
        <x:v>165</x:v>
      </x:c>
      <x:c r="K43" s="1" t="s">
        <x:v>181</x:v>
      </x:c>
      <x:c r="L43" s="1" t="s">
        <x:v>165</x:v>
      </x:c>
      <x:c r="M43" s="1" t="s">
        <x:v>175</x:v>
      </x:c>
      <x:c r="N43" s="1" t="s">
        <x:v>147</x:v>
      </x:c>
      <x:c r="O43" s="1" t="s">
        <x:v>177</x:v>
      </x:c>
      <x:c r="P43" s="1" t="s">
        <x:v>177</x:v>
      </x:c>
      <x:c r="Q43" s="1" t="s">
        <x:v>177</x:v>
      </x:c>
      <x:c r="R43" s="1" t="s">
        <x:v>181</x:v>
      </x:c>
      <x:c r="S43" s="1" t="s">
        <x:v>181</x:v>
      </x:c>
      <x:c r="T43" s="1" t="s">
        <x:v>114</x:v>
      </x:c>
      <x:c r="U43" s="1" t="s">
        <x:v>125</x:v>
      </x:c>
      <x:c r="V43" s="1" t="s">
        <x:v>161</x:v>
      </x:c>
      <x:c r="W43" s="1" t="s">
        <x:v>117</x:v>
      </x:c>
      <x:c r="X43" s="1" t="s">
        <x:v>136</x:v>
      </x:c>
      <x:c r="Y43" s="1" t="s">
        <x:v>159</x:v>
      </x:c>
      <x:c r="Z43" s="1" t="s">
        <x:v>184</x:v>
      </x:c>
      <x:c r="AA43" s="1" t="s">
        <x:v>159</x:v>
      </x:c>
      <x:c r="AB43" s="1" t="s">
        <x:v>164</x:v>
      </x:c>
      <x:c r="AC43" s="1" t="s">
        <x:v>128</x:v>
      </x:c>
      <x:c r="AD43" s="1" t="s">
        <x:v>132</x:v>
      </x:c>
      <x:c r="AE43" s="1" t="s">
        <x:v>185</x:v>
      </x:c>
      <x:c r="AF43" s="1" t="s">
        <x:v>175</x:v>
      </x:c>
      <x:c r="AG43" s="1" t="s">
        <x:v>135</x:v>
      </x:c>
      <x:c r="AH43" s="1" t="s">
        <x:v>164</x:v>
      </x:c>
      <x:c r="AI43" s="1" t="s">
        <x:v>165</x:v>
      </x:c>
      <x:c r="AJ43" s="1" t="s">
        <x:v>127</x:v>
      </x:c>
      <x:c r="AK43" s="1" t="s">
        <x:v>168</x:v>
      </x:c>
      <x:c r="AL43" s="1" t="s">
        <x:v>132</x:v>
      </x:c>
      <x:c r="AM43" s="1" t="s">
        <x:v>150</x:v>
      </x:c>
      <x:c r="AN43" s="1" t="s">
        <x:v>114</x:v>
      </x:c>
      <x:c r="AO43" s="1" t="s">
        <x:v>123</x:v>
      </x:c>
      <x:c r="AP43" s="1" t="s">
        <x:v>165</x:v>
      </x:c>
      <x:c r="AQ43" s="1" t="s">
        <x:v>176</x:v>
      </x:c>
      <x:c r="AR43" s="1" t="s">
        <x:v>117</x:v>
      </x:c>
      <x:c r="AS43" s="1" t="s">
        <x:v>129</x:v>
      </x:c>
      <x:c r="AT43" s="1" t="s">
        <x:v>115</x:v>
      </x:c>
      <x:c r="AU43" s="1" t="s">
        <x:v>147</x:v>
      </x:c>
      <x:c r="AV43" s="1" t="s">
        <x:v>184</x:v>
      </x:c>
      <x:c r="AW43" s="1" t="s">
        <x:v>123</x:v>
      </x:c>
      <x:c r="AX43" s="1" t="s">
        <x:v>137</x:v>
      </x:c>
      <x:c r="AY43" s="1" t="s">
        <x:v>138</x:v>
      </x:c>
      <x:c r="AZ43" s="1" t="s">
        <x:v>143</x:v>
      </x:c>
      <x:c r="BA43" s="1" t="s">
        <x:v>134</x:v>
      </x:c>
      <x:c r="BB43" s="1" t="s">
        <x:v>188</x:v>
      </x:c>
      <x:c r="BC43" s="1" t="s">
        <x:v>236</x:v>
      </x:c>
      <x:c r="BD43" s="1" t="s">
        <x:v>63</x:v>
      </x:c>
      <x:c r="BE43" s="11" t="n">
        <x:f>ROUND((((B43*2+C43+D43+E43+F43*2+G43+H43+I43)/10)+((J43*2+K43+L43+M43+N43*2+O43+P43+Q43)/10)*2)/3,2)</x:f>
        <x:v>7.15</x:v>
      </x:c>
      <x:c r="BF43" s="11" t="n">
        <x:f>ROUND((((R43*2+S43+T43+U43+V43*2+W43+X43+Y43)/10)+((Z43*2+AA43+AB43+AC43+AD43*2+AE43+AF43+AG43)/10)*2)/3,2)</x:f>
        <x:v>7.33</x:v>
      </x:c>
      <x:c r="BG43" s="11" t="n">
        <x:f>ROUND((((AH43*2+AI43+AJ43+AK43+AL43*2+AM43+AN43+AO43)/10)+((AP43*2+AQ43+AR43+AS43+AT43*2+AU43+AV43+AW43)/10)*2)/3,2)</x:f>
        <x:v>6.95</x:v>
      </x:c>
      <x:c r="BH43" s="13" t="str">
        <x:f>IF(BE43&lt;5,"Y",IF(BE43&lt;6.5,"TB",IF(BE43&lt;8,"K",IF(BE43&lt;9,"G","XS"))))</x:f>
        <x:v>K</x:v>
      </x:c>
      <x:c r="BI43" s="13" t="str">
        <x:f>IF(BF43&lt;5,"Y",IF(BF43&lt;6.5,"TB",IF(BF43&lt;8,"K",IF(BF43&lt;9,"G","XS"))))</x:f>
        <x:v>K</x:v>
      </x:c>
      <x:c r="BJ43" s="13" t="str">
        <x:f>IF(BG43&lt;5,"Y",IF(BG43&lt;6.5,"TB",IF(BG43&lt;8,"K",IF(BG43&lt;9,"G","XS"))))</x:f>
        <x:v>K</x:v>
      </x:c>
      <x:c r="BK43" s="11" t="n">
        <x:f>ROUND((BE43/10)*4,2)</x:f>
        <x:v>2.86</x:v>
      </x:c>
      <x:c r="BL43" s="11" t="n">
        <x:f>ROUND((BF43/10)*4,2)</x:f>
        <x:v>2.93</x:v>
      </x:c>
      <x:c r="BM43" s="11" t="n">
        <x:f>ROUND((BG43/10)*4,2)</x:f>
        <x:v>2.78</x:v>
      </x:c>
      <x:c r="BN43" s="13" t="n">
        <x:f>IF(IF(OR(BD43="A",BD43="A1"),(BA43*2+BB43+BC43)/4,IF(BD43="B",(BA43+BB43*2+BC43)/4,(BA43+BB43+BC43)/3))&gt;=5,1,0)</x:f>
        <x:v>0</x:v>
      </x:c>
    </x:row>
    <x:row r="44">
      <x:c r="A44" s="1" t="s">
        <x:v>237</x:v>
      </x:c>
      <x:c r="B44" s="1" t="s">
        <x:v>175</x:v>
      </x:c>
      <x:c r="C44" s="1" t="s">
        <x:v>177</x:v>
      </x:c>
      <x:c r="D44" s="1" t="s">
        <x:v>122</x:v>
      </x:c>
      <x:c r="E44" s="1" t="s">
        <x:v>175</x:v>
      </x:c>
      <x:c r="F44" s="1" t="s">
        <x:v>117</x:v>
      </x:c>
      <x:c r="G44" s="1" t="s">
        <x:v>175</x:v>
      </x:c>
      <x:c r="H44" s="1" t="s">
        <x:v>128</x:v>
      </x:c>
      <x:c r="I44" s="1" t="s">
        <x:v>159</x:v>
      </x:c>
      <x:c r="J44" s="1" t="s">
        <x:v>185</x:v>
      </x:c>
      <x:c r="K44" s="1" t="s">
        <x:v>119</x:v>
      </x:c>
      <x:c r="L44" s="1" t="s">
        <x:v>175</x:v>
      </x:c>
      <x:c r="M44" s="1" t="s">
        <x:v>176</x:v>
      </x:c>
      <x:c r="N44" s="1" t="s">
        <x:v>177</x:v>
      </x:c>
      <x:c r="O44" s="1" t="s">
        <x:v>124</x:v>
      </x:c>
      <x:c r="P44" s="1" t="s">
        <x:v>124</x:v>
      </x:c>
      <x:c r="Q44" s="1" t="s">
        <x:v>174</x:v>
      </x:c>
      <x:c r="R44" s="1" t="s">
        <x:v>181</x:v>
      </x:c>
      <x:c r="S44" s="1" t="s">
        <x:v>136</x:v>
      </x:c>
      <x:c r="T44" s="1" t="s">
        <x:v>128</x:v>
      </x:c>
      <x:c r="U44" s="1" t="s">
        <x:v>184</x:v>
      </x:c>
      <x:c r="V44" s="1" t="s">
        <x:v>116</x:v>
      </x:c>
      <x:c r="W44" s="1" t="s">
        <x:v>238</x:v>
      </x:c>
      <x:c r="X44" s="1" t="s">
        <x:v>186</x:v>
      </x:c>
      <x:c r="Y44" s="1" t="s">
        <x:v>175</x:v>
      </x:c>
      <x:c r="Z44" s="1" t="s">
        <x:v>174</x:v>
      </x:c>
      <x:c r="AA44" s="1" t="s">
        <x:v>117</x:v>
      </x:c>
      <x:c r="AB44" s="1" t="s">
        <x:v>120</x:v>
      </x:c>
      <x:c r="AC44" s="1" t="s">
        <x:v>186</x:v>
      </x:c>
      <x:c r="AD44" s="1" t="s">
        <x:v>117</x:v>
      </x:c>
      <x:c r="AE44" s="1" t="s">
        <x:v>119</x:v>
      </x:c>
      <x:c r="AF44" s="1" t="s">
        <x:v>176</x:v>
      </x:c>
      <x:c r="AG44" s="1" t="s">
        <x:v>125</x:v>
      </x:c>
      <x:c r="AH44" s="1" t="s">
        <x:v>186</x:v>
      </x:c>
      <x:c r="AI44" s="1" t="s">
        <x:v>175</x:v>
      </x:c>
      <x:c r="AJ44" s="1" t="s">
        <x:v>186</x:v>
      </x:c>
      <x:c r="AK44" s="1" t="s">
        <x:v>119</x:v>
      </x:c>
      <x:c r="AL44" s="1" t="s">
        <x:v>165</x:v>
      </x:c>
      <x:c r="AM44" s="1" t="s">
        <x:v>123</x:v>
      </x:c>
      <x:c r="AN44" s="1" t="s">
        <x:v>177</x:v>
      </x:c>
      <x:c r="AO44" s="1" t="s">
        <x:v>129</x:v>
      </x:c>
      <x:c r="AP44" s="1" t="s">
        <x:v>184</x:v>
      </x:c>
      <x:c r="AQ44" s="1" t="s">
        <x:v>176</x:v>
      </x:c>
      <x:c r="AR44" s="1" t="s">
        <x:v>184</x:v>
      </x:c>
      <x:c r="AS44" s="1" t="s">
        <x:v>183</x:v>
      </x:c>
      <x:c r="AT44" s="1" t="s">
        <x:v>181</x:v>
      </x:c>
      <x:c r="AU44" s="1" t="s">
        <x:v>128</x:v>
      </x:c>
      <x:c r="AV44" s="1" t="s">
        <x:v>117</x:v>
      </x:c>
      <x:c r="AW44" s="1" t="s">
        <x:v>125</x:v>
      </x:c>
      <x:c r="AX44" s="1" t="s">
        <x:v>137</x:v>
      </x:c>
      <x:c r="AY44" s="1" t="s">
        <x:v>138</x:v>
      </x:c>
      <x:c r="AZ44" s="1" t="s">
        <x:v>143</x:v>
      </x:c>
      <x:c r="BA44" s="1" t="s">
        <x:v>146</x:v>
      </x:c>
      <x:c r="BB44" s="1" t="s">
        <x:v>141</x:v>
      </x:c>
      <x:c r="BC44" s="1" t="s">
        <x:v>236</x:v>
      </x:c>
      <x:c r="BD44" s="1" t="s">
        <x:v>178</x:v>
      </x:c>
      <x:c r="BE44" s="11" t="n">
        <x:f>ROUND((((B44*2+C44+D44+E44+F44*2+G44+H44+I44)/10)+((J44*2+K44+L44+M44+N44*2+O44+P44+Q44)/10)*2)/3,2)</x:f>
        <x:v>8.21</x:v>
      </x:c>
      <x:c r="BF44" s="11" t="n">
        <x:f>ROUND((((R44*2+S44+T44+U44+V44*2+W44+X44+Y44)/10)+((Z44*2+AA44+AB44+AC44+AD44*2+AE44+AF44+AG44)/10)*2)/3,2)</x:f>
        <x:v>8.1</x:v>
      </x:c>
      <x:c r="BG44" s="11" t="n">
        <x:f>ROUND((((AH44*2+AI44+AJ44+AK44+AL44*2+AM44+AN44+AO44)/10)+((AP44*2+AQ44+AR44+AS44+AT44*2+AU44+AV44+AW44)/10)*2)/3,2)</x:f>
        <x:v>8.14</x:v>
      </x:c>
      <x:c r="BH44" s="13" t="str">
        <x:f>IF(BE44&lt;5,"Y",IF(BE44&lt;6.5,"TB",IF(BE44&lt;8,"K",IF(BE44&lt;9,"G","XS"))))</x:f>
        <x:v>G</x:v>
      </x:c>
      <x:c r="BI44" s="13" t="str">
        <x:f>IF(BF44&lt;5,"Y",IF(BF44&lt;6.5,"TB",IF(BF44&lt;8,"K",IF(BF44&lt;9,"G","XS"))))</x:f>
        <x:v>G</x:v>
      </x:c>
      <x:c r="BJ44" s="13" t="str">
        <x:f>IF(BG44&lt;5,"Y",IF(BG44&lt;6.5,"TB",IF(BG44&lt;8,"K",IF(BG44&lt;9,"G","XS"))))</x:f>
        <x:v>G</x:v>
      </x:c>
      <x:c r="BK44" s="11" t="n">
        <x:f>ROUND((BE44/10)*4,2)</x:f>
        <x:v>3.28</x:v>
      </x:c>
      <x:c r="BL44" s="11" t="n">
        <x:f>ROUND((BF44/10)*4,2)</x:f>
        <x:v>3.24</x:v>
      </x:c>
      <x:c r="BM44" s="11" t="n">
        <x:f>ROUND((BG44/10)*4,2)</x:f>
        <x:v>3.26</x:v>
      </x:c>
      <x:c r="BN44" s="13" t="n">
        <x:f>IF(IF(OR(BD44="A",BD44="A1"),(BA44*2+BB44+BC44)/4,IF(BD44="B",(BA44+BB44*2+BC44)/4,(BA44+BB44+BC44)/3))&gt;=5,1,0)</x:f>
        <x:v>0</x:v>
      </x:c>
    </x:row>
    <x:row r="45">
      <x:c r="A45" s="1" t="s">
        <x:v>239</x:v>
      </x:c>
      <x:c r="B45" s="1" t="s">
        <x:v>116</x:v>
      </x:c>
      <x:c r="C45" s="1" t="s">
        <x:v>125</x:v>
      </x:c>
      <x:c r="D45" s="1" t="s">
        <x:v>165</x:v>
      </x:c>
      <x:c r="E45" s="1" t="s">
        <x:v>175</x:v>
      </x:c>
      <x:c r="F45" s="1" t="s">
        <x:v>124</x:v>
      </x:c>
      <x:c r="G45" s="1" t="s">
        <x:v>177</x:v>
      </x:c>
      <x:c r="H45" s="1" t="s">
        <x:v>186</x:v>
      </x:c>
      <x:c r="I45" s="1" t="s">
        <x:v>116</x:v>
      </x:c>
      <x:c r="J45" s="1" t="s">
        <x:v>113</x:v>
      </x:c>
      <x:c r="K45" s="1" t="s">
        <x:v>159</x:v>
      </x:c>
      <x:c r="L45" s="1" t="s">
        <x:v>136</x:v>
      </x:c>
      <x:c r="M45" s="1" t="s">
        <x:v>179</x:v>
      </x:c>
      <x:c r="N45" s="1" t="s">
        <x:v>176</x:v>
      </x:c>
      <x:c r="O45" s="1" t="s">
        <x:v>177</x:v>
      </x:c>
      <x:c r="P45" s="1" t="s">
        <x:v>202</x:v>
      </x:c>
      <x:c r="Q45" s="1" t="s">
        <x:v>127</x:v>
      </x:c>
      <x:c r="R45" s="1" t="s">
        <x:v>116</x:v>
      </x:c>
      <x:c r="S45" s="1" t="s">
        <x:v>161</x:v>
      </x:c>
      <x:c r="T45" s="1" t="s">
        <x:v>147</x:v>
      </x:c>
      <x:c r="U45" s="1" t="s">
        <x:v>125</x:v>
      </x:c>
      <x:c r="V45" s="1" t="s">
        <x:v>177</x:v>
      </x:c>
      <x:c r="W45" s="1" t="s">
        <x:v>122</x:v>
      </x:c>
      <x:c r="X45" s="1" t="s">
        <x:v>175</x:v>
      </x:c>
      <x:c r="Y45" s="1" t="s">
        <x:v>116</x:v>
      </x:c>
      <x:c r="Z45" s="1" t="s">
        <x:v>135</x:v>
      </x:c>
      <x:c r="AA45" s="1" t="s">
        <x:v>147</x:v>
      </x:c>
      <x:c r="AB45" s="1" t="s">
        <x:v>115</x:v>
      </x:c>
      <x:c r="AC45" s="1" t="s">
        <x:v>119</x:v>
      </x:c>
      <x:c r="AD45" s="1" t="s">
        <x:v>165</x:v>
      </x:c>
      <x:c r="AE45" s="1" t="s">
        <x:v>128</x:v>
      </x:c>
      <x:c r="AF45" s="1" t="s">
        <x:v>136</x:v>
      </x:c>
      <x:c r="AG45" s="1" t="s">
        <x:v>115</x:v>
      </x:c>
      <x:c r="AH45" s="1" t="s">
        <x:v>146</x:v>
      </x:c>
      <x:c r="AI45" s="1" t="s">
        <x:v>114</x:v>
      </x:c>
      <x:c r="AJ45" s="1" t="s">
        <x:v>113</x:v>
      </x:c>
      <x:c r="AK45" s="1" t="s">
        <x:v>113</x:v>
      </x:c>
      <x:c r="AL45" s="1" t="s">
        <x:v>127</x:v>
      </x:c>
      <x:c r="AM45" s="1" t="s">
        <x:v>130</x:v>
      </x:c>
      <x:c r="AN45" s="1" t="s">
        <x:v>177</x:v>
      </x:c>
      <x:c r="AO45" s="1" t="s">
        <x:v>129</x:v>
      </x:c>
      <x:c r="AP45" s="1" t="s">
        <x:v>118</x:v>
      </x:c>
      <x:c r="AQ45" s="1" t="s">
        <x:v>127</x:v>
      </x:c>
      <x:c r="AR45" s="1" t="s">
        <x:v>165</x:v>
      </x:c>
      <x:c r="AS45" s="1" t="s">
        <x:v>175</x:v>
      </x:c>
      <x:c r="AT45" s="1" t="s">
        <x:v>177</x:v>
      </x:c>
      <x:c r="AU45" s="1" t="s">
        <x:v>124</x:v>
      </x:c>
      <x:c r="AV45" s="1" t="s">
        <x:v>113</x:v>
      </x:c>
      <x:c r="AW45" s="1" t="s">
        <x:v>123</x:v>
      </x:c>
      <x:c r="AX45" s="1" t="s">
        <x:v>137</x:v>
      </x:c>
      <x:c r="AY45" s="1" t="s">
        <x:v>138</x:v>
      </x:c>
      <x:c r="AZ45" s="1" t="s">
        <x:v>112</x:v>
      </x:c>
      <x:c r="BA45" s="1" t="s">
        <x:v>236</x:v>
      </x:c>
      <x:c r="BB45" s="1" t="s">
        <x:v>162</x:v>
      </x:c>
      <x:c r="BC45" s="1" t="s">
        <x:v>172</x:v>
      </x:c>
      <x:c r="BD45" s="1" t="s">
        <x:v>63</x:v>
      </x:c>
      <x:c r="BE45" s="11" t="n">
        <x:f>ROUND((((B45*2+C45+D45+E45+F45*2+G45+H45+I45)/10)+((J45*2+K45+L45+M45+N45*2+O45+P45+Q45)/10)*2)/3,2)</x:f>
        <x:v>7.91</x:v>
      </x:c>
      <x:c r="BF45" s="11" t="n">
        <x:f>ROUND((((R45*2+S45+T45+U45+V45*2+W45+X45+Y45)/10)+((Z45*2+AA45+AB45+AC45+AD45*2+AE45+AF45+AG45)/10)*2)/3,2)</x:f>
        <x:v>7.1</x:v>
      </x:c>
      <x:c r="BG45" s="11" t="n">
        <x:f>ROUND((((AH45*2+AI45+AJ45+AK45+AL45*2+AM45+AN45+AO45)/10)+((AP45*2+AQ45+AR45+AS45+AT45*2+AU45+AV45+AW45)/10)*2)/3,2)</x:f>
        <x:v>6.96</x:v>
      </x:c>
      <x:c r="BH45" s="13" t="str">
        <x:f>IF(BE45&lt;5,"Y",IF(BE45&lt;6.5,"TB",IF(BE45&lt;8,"K",IF(BE45&lt;9,"G","XS"))))</x:f>
        <x:v>K</x:v>
      </x:c>
      <x:c r="BI45" s="13" t="str">
        <x:f>IF(BF45&lt;5,"Y",IF(BF45&lt;6.5,"TB",IF(BF45&lt;8,"K",IF(BF45&lt;9,"G","XS"))))</x:f>
        <x:v>K</x:v>
      </x:c>
      <x:c r="BJ45" s="13" t="str">
        <x:f>IF(BG45&lt;5,"Y",IF(BG45&lt;6.5,"TB",IF(BG45&lt;8,"K",IF(BG45&lt;9,"G","XS"))))</x:f>
        <x:v>K</x:v>
      </x:c>
      <x:c r="BK45" s="11" t="n">
        <x:f>ROUND((BE45/10)*4,2)</x:f>
        <x:v>3.16</x:v>
      </x:c>
      <x:c r="BL45" s="11" t="n">
        <x:f>ROUND((BF45/10)*4,2)</x:f>
        <x:v>2.84</x:v>
      </x:c>
      <x:c r="BM45" s="11" t="n">
        <x:f>ROUND((BG45/10)*4,2)</x:f>
        <x:v>2.78</x:v>
      </x:c>
      <x:c r="BN45" s="13" t="n">
        <x:f>IF(IF(OR(BD45="A",BD45="A1"),(BA45*2+BB45+BC45)/4,IF(BD45="B",(BA45+BB45*2+BC45)/4,(BA45+BB45+BC45)/3))&gt;=5,1,0)</x:f>
        <x:v>0</x:v>
      </x:c>
    </x:row>
    <x:row r="46">
      <x:c r="A46" s="1" t="s">
        <x:v>240</x:v>
      </x:c>
      <x:c r="B46" s="1" t="s">
        <x:v>123</x:v>
      </x:c>
      <x:c r="C46" s="1" t="s">
        <x:v>113</x:v>
      </x:c>
      <x:c r="D46" s="1" t="s">
        <x:v>130</x:v>
      </x:c>
      <x:c r="E46" s="1" t="s">
        <x:v>127</x:v>
      </x:c>
      <x:c r="F46" s="1" t="s">
        <x:v>136</x:v>
      </x:c>
      <x:c r="G46" s="1" t="s">
        <x:v>128</x:v>
      </x:c>
      <x:c r="H46" s="1" t="s">
        <x:v>114</x:v>
      </x:c>
      <x:c r="I46" s="1" t="s">
        <x:v>159</x:v>
      </x:c>
      <x:c r="J46" s="1" t="s">
        <x:v>115</x:v>
      </x:c>
      <x:c r="K46" s="1" t="s">
        <x:v>127</x:v>
      </x:c>
      <x:c r="L46" s="1" t="s">
        <x:v>161</x:v>
      </x:c>
      <x:c r="M46" s="1" t="s">
        <x:v>168</x:v>
      </x:c>
      <x:c r="N46" s="1" t="s">
        <x:v>116</x:v>
      </x:c>
      <x:c r="O46" s="1" t="s">
        <x:v>129</x:v>
      </x:c>
      <x:c r="P46" s="1" t="s">
        <x:v>127</x:v>
      </x:c>
      <x:c r="Q46" s="1" t="s">
        <x:v>166</x:v>
      </x:c>
      <x:c r="R46" s="1" t="s">
        <x:v>159</x:v>
      </x:c>
      <x:c r="S46" s="1" t="s">
        <x:v>129</x:v>
      </x:c>
      <x:c r="T46" s="1" t="s">
        <x:v>144</x:v>
      </x:c>
      <x:c r="U46" s="1" t="s">
        <x:v>164</x:v>
      </x:c>
      <x:c r="V46" s="1" t="s">
        <x:v>164</x:v>
      </x:c>
      <x:c r="W46" s="1" t="s">
        <x:v>130</x:v>
      </x:c>
      <x:c r="X46" s="1" t="s">
        <x:v>123</x:v>
      </x:c>
      <x:c r="Y46" s="1" t="s">
        <x:v>164</x:v>
      </x:c>
      <x:c r="Z46" s="1" t="s">
        <x:v>161</x:v>
      </x:c>
      <x:c r="AA46" s="1" t="s">
        <x:v>136</x:v>
      </x:c>
      <x:c r="AB46" s="1" t="s">
        <x:v>135</x:v>
      </x:c>
      <x:c r="AC46" s="1" t="s">
        <x:v>136</x:v>
      </x:c>
      <x:c r="AD46" s="1" t="s">
        <x:v>159</x:v>
      </x:c>
      <x:c r="AE46" s="1" t="s">
        <x:v>129</x:v>
      </x:c>
      <x:c r="AF46" s="1" t="s">
        <x:v>117</x:v>
      </x:c>
      <x:c r="AG46" s="1" t="s">
        <x:v>131</x:v>
      </x:c>
      <x:c r="AH46" s="1" t="s">
        <x:v>121</x:v>
      </x:c>
      <x:c r="AI46" s="1" t="s">
        <x:v>130</x:v>
      </x:c>
      <x:c r="AJ46" s="1" t="s">
        <x:v>121</x:v>
      </x:c>
      <x:c r="AK46" s="1" t="s">
        <x:v>158</x:v>
      </x:c>
      <x:c r="AL46" s="1" t="s">
        <x:v>123</x:v>
      </x:c>
      <x:c r="AM46" s="1" t="s">
        <x:v>146</x:v>
      </x:c>
      <x:c r="AN46" s="1" t="s">
        <x:v>161</x:v>
      </x:c>
      <x:c r="AO46" s="1" t="s">
        <x:v>166</x:v>
      </x:c>
      <x:c r="AP46" s="1" t="s">
        <x:v>161</x:v>
      </x:c>
      <x:c r="AQ46" s="1" t="s">
        <x:v>136</x:v>
      </x:c>
      <x:c r="AR46" s="1" t="s">
        <x:v>135</x:v>
      </x:c>
      <x:c r="AS46" s="1" t="s">
        <x:v>136</x:v>
      </x:c>
      <x:c r="AT46" s="1" t="s">
        <x:v>159</x:v>
      </x:c>
      <x:c r="AU46" s="1" t="s">
        <x:v>129</x:v>
      </x:c>
      <x:c r="AV46" s="1" t="s">
        <x:v>117</x:v>
      </x:c>
      <x:c r="AW46" s="1" t="s">
        <x:v>131</x:v>
      </x:c>
      <x:c r="AX46" s="1" t="s">
        <x:v>137</x:v>
      </x:c>
      <x:c r="AY46" s="1" t="s">
        <x:v>112</x:v>
      </x:c>
      <x:c r="AZ46" s="1" t="s">
        <x:v>143</x:v>
      </x:c>
      <x:c r="BA46" s="1" t="s">
        <x:v>241</x:v>
      </x:c>
      <x:c r="BB46" s="1" t="s">
        <x:v>162</x:v>
      </x:c>
      <x:c r="BC46" s="1" t="s">
        <x:v>134</x:v>
      </x:c>
      <x:c r="BD46" s="1" t="s">
        <x:v>63</x:v>
      </x:c>
      <x:c r="BE46" s="11" t="n">
        <x:f>ROUND((((B46*2+C46+D46+E46+F46*2+G46+H46+I46)/10)+((J46*2+K46+L46+M46+N46*2+O46+P46+Q46)/10)*2)/3,2)</x:f>
        <x:v>6.76</x:v>
      </x:c>
      <x:c r="BF46" s="11" t="n">
        <x:f>ROUND((((R46*2+S46+T46+U46+V46*2+W46+X46+Y46)/10)+((Z46*2+AA46+AB46+AC46+AD46*2+AE46+AF46+AG46)/10)*2)/3,2)</x:f>
        <x:v>6.7</x:v>
      </x:c>
      <x:c r="BG46" s="11" t="n">
        <x:f>ROUND((((AH46*2+AI46+AJ46+AK46+AL46*2+AM46+AN46+AO46)/10)+((AP46*2+AQ46+AR46+AS46+AT46*2+AU46+AV46+AW46)/10)*2)/3,2)</x:f>
        <x:v>6.42</x:v>
      </x:c>
      <x:c r="BH46" s="13" t="str">
        <x:f>IF(BE46&lt;5,"Y",IF(BE46&lt;6.5,"TB",IF(BE46&lt;8,"K",IF(BE46&lt;9,"G","XS"))))</x:f>
        <x:v>K</x:v>
      </x:c>
      <x:c r="BI46" s="13" t="str">
        <x:f>IF(BF46&lt;5,"Y",IF(BF46&lt;6.5,"TB",IF(BF46&lt;8,"K",IF(BF46&lt;9,"G","XS"))))</x:f>
        <x:v>K</x:v>
      </x:c>
      <x:c r="BJ46" s="13" t="str">
        <x:f>IF(BG46&lt;5,"Y",IF(BG46&lt;6.5,"TB",IF(BG46&lt;8,"K",IF(BG46&lt;9,"G","XS"))))</x:f>
        <x:v>TB</x:v>
      </x:c>
      <x:c r="BK46" s="11" t="n">
        <x:f>ROUND((BE46/10)*4,2)</x:f>
        <x:v>2.7</x:v>
      </x:c>
      <x:c r="BL46" s="11" t="n">
        <x:f>ROUND((BF46/10)*4,2)</x:f>
        <x:v>2.68</x:v>
      </x:c>
      <x:c r="BM46" s="11" t="n">
        <x:f>ROUND((BG46/10)*4,2)</x:f>
        <x:v>2.57</x:v>
      </x:c>
      <x:c r="BN46" s="13" t="n">
        <x:f>IF(IF(OR(BD46="A",BD46="A1"),(BA46*2+BB46+BC46)/4,IF(BD46="B",(BA46+BB46*2+BC46)/4,(BA46+BB46+BC46)/3))&gt;=5,1,0)</x:f>
        <x:v>0</x:v>
      </x:c>
    </x:row>
    <x:row r="47">
      <x:c r="A47" s="1" t="s">
        <x:v>242</x:v>
      </x:c>
      <x:c r="B47" s="1" t="s">
        <x:v>132</x:v>
      </x:c>
      <x:c r="C47" s="1" t="s">
        <x:v>127</x:v>
      </x:c>
      <x:c r="D47" s="1" t="s">
        <x:v>130</x:v>
      </x:c>
      <x:c r="E47" s="1" t="s">
        <x:v>123</x:v>
      </x:c>
      <x:c r="F47" s="1" t="s">
        <x:v>161</x:v>
      </x:c>
      <x:c r="G47" s="1" t="s">
        <x:v>116</x:v>
      </x:c>
      <x:c r="H47" s="1" t="s">
        <x:v>164</x:v>
      </x:c>
      <x:c r="I47" s="1" t="s">
        <x:v>159</x:v>
      </x:c>
      <x:c r="J47" s="1" t="s">
        <x:v>186</x:v>
      </x:c>
      <x:c r="K47" s="1" t="s">
        <x:v>129</x:v>
      </x:c>
      <x:c r="L47" s="1" t="s">
        <x:v>168</x:v>
      </x:c>
      <x:c r="M47" s="1" t="s">
        <x:v>159</x:v>
      </x:c>
      <x:c r="N47" s="1" t="s">
        <x:v>164</x:v>
      </x:c>
      <x:c r="O47" s="1" t="s">
        <x:v>129</x:v>
      </x:c>
      <x:c r="P47" s="1" t="s">
        <x:v>129</x:v>
      </x:c>
      <x:c r="Q47" s="1" t="s">
        <x:v>129</x:v>
      </x:c>
      <x:c r="R47" s="1" t="s">
        <x:v>119</x:v>
      </x:c>
      <x:c r="S47" s="1" t="s">
        <x:v>114</x:v>
      </x:c>
      <x:c r="T47" s="1" t="s">
        <x:v>131</x:v>
      </x:c>
      <x:c r="U47" s="1" t="s">
        <x:v>165</x:v>
      </x:c>
      <x:c r="V47" s="1" t="s">
        <x:v>121</x:v>
      </x:c>
      <x:c r="W47" s="1" t="s">
        <x:v>164</x:v>
      </x:c>
      <x:c r="X47" s="1" t="s">
        <x:v>115</x:v>
      </x:c>
      <x:c r="Y47" s="1" t="s">
        <x:v>114</x:v>
      </x:c>
      <x:c r="Z47" s="1" t="s">
        <x:v>123</x:v>
      </x:c>
      <x:c r="AA47" s="1" t="s">
        <x:v>129</x:v>
      </x:c>
      <x:c r="AB47" s="1" t="s">
        <x:v>115</x:v>
      </x:c>
      <x:c r="AC47" s="1" t="s">
        <x:v>164</x:v>
      </x:c>
      <x:c r="AD47" s="1" t="s">
        <x:v>123</x:v>
      </x:c>
      <x:c r="AE47" s="1" t="s">
        <x:v>127</x:v>
      </x:c>
      <x:c r="AF47" s="1" t="s">
        <x:v>159</x:v>
      </x:c>
      <x:c r="AG47" s="1" t="s">
        <x:v>127</x:v>
      </x:c>
      <x:c r="AH47" s="1" t="s">
        <x:v>181</x:v>
      </x:c>
      <x:c r="AI47" s="1" t="s">
        <x:v>114</x:v>
      </x:c>
      <x:c r="AJ47" s="1" t="s">
        <x:v>164</x:v>
      </x:c>
      <x:c r="AK47" s="1" t="s">
        <x:v>181</x:v>
      </x:c>
      <x:c r="AL47" s="1" t="s">
        <x:v>164</x:v>
      </x:c>
      <x:c r="AM47" s="1" t="s">
        <x:v>132</x:v>
      </x:c>
      <x:c r="AN47" s="1" t="s">
        <x:v>151</x:v>
      </x:c>
      <x:c r="AO47" s="1" t="s">
        <x:v>121</x:v>
      </x:c>
      <x:c r="AP47" s="1" t="s">
        <x:v>181</x:v>
      </x:c>
      <x:c r="AQ47" s="1" t="s">
        <x:v>164</x:v>
      </x:c>
      <x:c r="AR47" s="1" t="s">
        <x:v>177</x:v>
      </x:c>
      <x:c r="AS47" s="1" t="s">
        <x:v>125</x:v>
      </x:c>
      <x:c r="AT47" s="1" t="s">
        <x:v>129</x:v>
      </x:c>
      <x:c r="AU47" s="1" t="s">
        <x:v>123</x:v>
      </x:c>
      <x:c r="AV47" s="1" t="s">
        <x:v>164</x:v>
      </x:c>
      <x:c r="AW47" s="1" t="s">
        <x:v>114</x:v>
      </x:c>
      <x:c r="AX47" s="1" t="s">
        <x:v>137</x:v>
      </x:c>
      <x:c r="AY47" s="1" t="s">
        <x:v>138</x:v>
      </x:c>
      <x:c r="AZ47" s="1" t="s">
        <x:v>139</x:v>
      </x:c>
      <x:c r="BA47" s="1" t="s">
        <x:v>188</x:v>
      </x:c>
      <x:c r="BB47" s="1" t="s">
        <x:v>146</x:v>
      </x:c>
      <x:c r="BC47" s="1" t="s">
        <x:v>146</x:v>
      </x:c>
      <x:c r="BD47" s="1" t="s">
        <x:v>178</x:v>
      </x:c>
      <x:c r="BE47" s="11" t="n">
        <x:f>ROUND((((B47*2+C47+D47+E47+F47*2+G47+H47+I47)/10)+((J47*2+K47+L47+M47+N47*2+O47+P47+Q47)/10)*2)/3,2)</x:f>
        <x:v>6.98</x:v>
      </x:c>
      <x:c r="BF47" s="11" t="n">
        <x:f>ROUND((((R47*2+S47+T47+U47+V47*2+W47+X47+Y47)/10)+((Z47*2+AA47+AB47+AC47+AD47*2+AE47+AF47+AG47)/10)*2)/3,2)</x:f>
        <x:v>6.78</x:v>
      </x:c>
      <x:c r="BG47" s="11" t="n">
        <x:f>ROUND((((AH47*2+AI47+AJ47+AK47+AL47*2+AM47+AN47+AO47)/10)+((AP47*2+AQ47+AR47+AS47+AT47*2+AU47+AV47+AW47)/10)*2)/3,2)</x:f>
        <x:v>7.09</x:v>
      </x:c>
      <x:c r="BH47" s="13" t="str">
        <x:f>IF(BE47&lt;5,"Y",IF(BE47&lt;6.5,"TB",IF(BE47&lt;8,"K",IF(BE47&lt;9,"G","XS"))))</x:f>
        <x:v>K</x:v>
      </x:c>
      <x:c r="BI47" s="13" t="str">
        <x:f>IF(BF47&lt;5,"Y",IF(BF47&lt;6.5,"TB",IF(BF47&lt;8,"K",IF(BF47&lt;9,"G","XS"))))</x:f>
        <x:v>K</x:v>
      </x:c>
      <x:c r="BJ47" s="13" t="str">
        <x:f>IF(BG47&lt;5,"Y",IF(BG47&lt;6.5,"TB",IF(BG47&lt;8,"K",IF(BG47&lt;9,"G","XS"))))</x:f>
        <x:v>K</x:v>
      </x:c>
      <x:c r="BK47" s="11" t="n">
        <x:f>ROUND((BE47/10)*4,2)</x:f>
        <x:v>2.79</x:v>
      </x:c>
      <x:c r="BL47" s="11" t="n">
        <x:f>ROUND((BF47/10)*4,2)</x:f>
        <x:v>2.71</x:v>
      </x:c>
      <x:c r="BM47" s="11" t="n">
        <x:f>ROUND((BG47/10)*4,2)</x:f>
        <x:v>2.84</x:v>
      </x:c>
      <x:c r="BN47" s="13" t="n">
        <x:f>IF(IF(OR(BD47="A",BD47="A1"),(BA47*2+BB47+BC47)/4,IF(BD47="B",(BA47+BB47*2+BC47)/4,(BA47+BB47+BC47)/3))&gt;=5,1,0)</x:f>
        <x:v>0</x:v>
      </x:c>
    </x:row>
    <x:row r="48">
      <x:c r="A48" s="1" t="s">
        <x:v>243</x:v>
      </x:c>
      <x:c r="B48" s="1" t="s">
        <x:v>127</x:v>
      </x:c>
      <x:c r="C48" s="1" t="s">
        <x:v>147</x:v>
      </x:c>
      <x:c r="D48" s="1" t="s">
        <x:v>129</x:v>
      </x:c>
      <x:c r="E48" s="1" t="s">
        <x:v>133</x:v>
      </x:c>
      <x:c r="F48" s="1" t="s">
        <x:v>116</x:v>
      </x:c>
      <x:c r="G48" s="1" t="s">
        <x:v>119</x:v>
      </x:c>
      <x:c r="H48" s="1" t="s">
        <x:v>166</x:v>
      </x:c>
      <x:c r="I48" s="1" t="s">
        <x:v>168</x:v>
      </x:c>
      <x:c r="J48" s="1" t="s">
        <x:v>144</x:v>
      </x:c>
      <x:c r="K48" s="1" t="s">
        <x:v>170</x:v>
      </x:c>
      <x:c r="L48" s="1" t="s">
        <x:v>123</x:v>
      </x:c>
      <x:c r="M48" s="1" t="s">
        <x:v>168</x:v>
      </x:c>
      <x:c r="N48" s="1" t="s">
        <x:v>114</x:v>
      </x:c>
      <x:c r="O48" s="1" t="s">
        <x:v>125</x:v>
      </x:c>
      <x:c r="P48" s="1" t="s">
        <x:v>123</x:v>
      </x:c>
      <x:c r="Q48" s="1" t="s">
        <x:v>133</x:v>
      </x:c>
      <x:c r="R48" s="1" t="s">
        <x:v>147</x:v>
      </x:c>
      <x:c r="S48" s="1" t="s">
        <x:v>123</x:v>
      </x:c>
      <x:c r="T48" s="1" t="s">
        <x:v>166</x:v>
      </x:c>
      <x:c r="U48" s="1" t="s">
        <x:v>130</x:v>
      </x:c>
      <x:c r="V48" s="1" t="s">
        <x:v>161</x:v>
      </x:c>
      <x:c r="W48" s="1" t="s">
        <x:v>120</x:v>
      </x:c>
      <x:c r="X48" s="1" t="s">
        <x:v>135</x:v>
      </x:c>
      <x:c r="Y48" s="1" t="s">
        <x:v>121</x:v>
      </x:c>
      <x:c r="Z48" s="1" t="s">
        <x:v>147</x:v>
      </x:c>
      <x:c r="AA48" s="1" t="s">
        <x:v>166</x:v>
      </x:c>
      <x:c r="AB48" s="1" t="s">
        <x:v>121</x:v>
      </x:c>
      <x:c r="AC48" s="1" t="s">
        <x:v>165</x:v>
      </x:c>
      <x:c r="AD48" s="1" t="s">
        <x:v>115</x:v>
      </x:c>
      <x:c r="AE48" s="1" t="s">
        <x:v>166</x:v>
      </x:c>
      <x:c r="AF48" s="1" t="s">
        <x:v>119</x:v>
      </x:c>
      <x:c r="AG48" s="1" t="s">
        <x:v>147</x:v>
      </x:c>
      <x:c r="AH48" s="1" t="s">
        <x:v>113</x:v>
      </x:c>
      <x:c r="AI48" s="1" t="s">
        <x:v>115</x:v>
      </x:c>
      <x:c r="AJ48" s="1" t="s">
        <x:v>164</x:v>
      </x:c>
      <x:c r="AK48" s="1" t="s">
        <x:v>161</x:v>
      </x:c>
      <x:c r="AL48" s="1" t="s">
        <x:v>161</x:v>
      </x:c>
      <x:c r="AM48" s="1" t="s">
        <x:v>169</x:v>
      </x:c>
      <x:c r="AN48" s="1" t="s">
        <x:v>125</x:v>
      </x:c>
      <x:c r="AO48" s="1" t="s">
        <x:v>130</x:v>
      </x:c>
      <x:c r="AP48" s="1" t="s">
        <x:v>129</x:v>
      </x:c>
      <x:c r="AQ48" s="1" t="s">
        <x:v>129</x:v>
      </x:c>
      <x:c r="AR48" s="1" t="s">
        <x:v>123</x:v>
      </x:c>
      <x:c r="AS48" s="1" t="s">
        <x:v>133</x:v>
      </x:c>
      <x:c r="AT48" s="1" t="s">
        <x:v>164</x:v>
      </x:c>
      <x:c r="AU48" s="1" t="s">
        <x:v>121</x:v>
      </x:c>
      <x:c r="AV48" s="1" t="s">
        <x:v>129</x:v>
      </x:c>
      <x:c r="AW48" s="1" t="s">
        <x:v>133</x:v>
      </x:c>
      <x:c r="AX48" s="1" t="s">
        <x:v>137</x:v>
      </x:c>
      <x:c r="AY48" s="1" t="s">
        <x:v>138</x:v>
      </x:c>
      <x:c r="AZ48" s="1" t="s">
        <x:v>143</x:v>
      </x:c>
      <x:c r="BA48" s="1" t="s">
        <x:v>143</x:v>
      </x:c>
      <x:c r="BB48" s="1" t="s">
        <x:v>141</x:v>
      </x:c>
      <x:c r="BC48" s="1" t="s">
        <x:v>134</x:v>
      </x:c>
      <x:c r="BD48" s="1" t="s">
        <x:v>178</x:v>
      </x:c>
      <x:c r="BE48" s="11" t="n">
        <x:f>ROUND((((B48*2+C48+D48+E48+F48*2+G48+H48+I48)/10)+((J48*2+K48+L48+M48+N48*2+O48+P48+Q48)/10)*2)/3,2)</x:f>
        <x:v>6.42</x:v>
      </x:c>
      <x:c r="BF48" s="11" t="n">
        <x:f>ROUND((((R48*2+S48+T48+U48+V48*2+W48+X48+Y48)/10)+((Z48*2+AA48+AB48+AC48+AD48*2+AE48+AF48+AG48)/10)*2)/3,2)</x:f>
        <x:v>6.26</x:v>
      </x:c>
      <x:c r="BG48" s="11" t="n">
        <x:f>ROUND((((AH48*2+AI48+AJ48+AK48+AL48*2+AM48+AN48+AO48)/10)+((AP48*2+AQ48+AR48+AS48+AT48*2+AU48+AV48+AW48)/10)*2)/3,2)</x:f>
        <x:v>6.48</x:v>
      </x:c>
      <x:c r="BH48" s="13" t="str">
        <x:f>IF(BE48&lt;5,"Y",IF(BE48&lt;6.5,"TB",IF(BE48&lt;8,"K",IF(BE48&lt;9,"G","XS"))))</x:f>
        <x:v>TB</x:v>
      </x:c>
      <x:c r="BI48" s="13" t="str">
        <x:f>IF(BF48&lt;5,"Y",IF(BF48&lt;6.5,"TB",IF(BF48&lt;8,"K",IF(BF48&lt;9,"G","XS"))))</x:f>
        <x:v>TB</x:v>
      </x:c>
      <x:c r="BJ48" s="13" t="str">
        <x:f>IF(BG48&lt;5,"Y",IF(BG48&lt;6.5,"TB",IF(BG48&lt;8,"K",IF(BG48&lt;9,"G","XS"))))</x:f>
        <x:v>TB</x:v>
      </x:c>
      <x:c r="BK48" s="11" t="n">
        <x:f>ROUND((BE48/10)*4,2)</x:f>
        <x:v>2.57</x:v>
      </x:c>
      <x:c r="BL48" s="11" t="n">
        <x:f>ROUND((BF48/10)*4,2)</x:f>
        <x:v>2.5</x:v>
      </x:c>
      <x:c r="BM48" s="11" t="n">
        <x:f>ROUND((BG48/10)*4,2)</x:f>
        <x:v>2.59</x:v>
      </x:c>
      <x:c r="BN48" s="13" t="n">
        <x:f>IF(IF(OR(BD48="A",BD48="A1"),(BA48*2+BB48+BC48)/4,IF(BD48="B",(BA48+BB48*2+BC48)/4,(BA48+BB48+BC48)/3))&gt;=5,1,0)</x:f>
        <x:v>0</x:v>
      </x:c>
    </x:row>
    <x:row r="49">
      <x:c r="A49" s="1" t="s">
        <x:v>244</x:v>
      </x:c>
      <x:c r="B49" s="1" t="s">
        <x:v>159</x:v>
      </x:c>
      <x:c r="C49" s="1" t="s">
        <x:v>164</x:v>
      </x:c>
      <x:c r="D49" s="1" t="s">
        <x:v>168</x:v>
      </x:c>
      <x:c r="E49" s="1" t="s">
        <x:v>130</x:v>
      </x:c>
      <x:c r="F49" s="1" t="s">
        <x:v>131</x:v>
      </x:c>
      <x:c r="G49" s="1" t="s">
        <x:v>168</x:v>
      </x:c>
      <x:c r="H49" s="1" t="s">
        <x:v>177</x:v>
      </x:c>
      <x:c r="I49" s="1" t="s">
        <x:v>164</x:v>
      </x:c>
      <x:c r="J49" s="1" t="s">
        <x:v>123</x:v>
      </x:c>
      <x:c r="K49" s="1" t="s">
        <x:v>127</x:v>
      </x:c>
      <x:c r="L49" s="1" t="s">
        <x:v>129</x:v>
      </x:c>
      <x:c r="M49" s="1" t="s">
        <x:v>158</x:v>
      </x:c>
      <x:c r="N49" s="1" t="s">
        <x:v>161</x:v>
      </x:c>
      <x:c r="O49" s="1" t="s">
        <x:v>159</x:v>
      </x:c>
      <x:c r="P49" s="1" t="s">
        <x:v>181</x:v>
      </x:c>
      <x:c r="Q49" s="1" t="s">
        <x:v>164</x:v>
      </x:c>
      <x:c r="R49" s="1" t="s">
        <x:v>136</x:v>
      </x:c>
      <x:c r="S49" s="1" t="s">
        <x:v>116</x:v>
      </x:c>
      <x:c r="T49" s="1" t="s">
        <x:v>159</x:v>
      </x:c>
      <x:c r="U49" s="1" t="s">
        <x:v>116</x:v>
      </x:c>
      <x:c r="V49" s="1" t="s">
        <x:v>130</x:v>
      </x:c>
      <x:c r="W49" s="1" t="s">
        <x:v>166</x:v>
      </x:c>
      <x:c r="X49" s="1" t="s">
        <x:v>128</x:v>
      </x:c>
      <x:c r="Y49" s="1" t="s">
        <x:v>165</x:v>
      </x:c>
      <x:c r="Z49" s="1" t="s">
        <x:v>125</x:v>
      </x:c>
      <x:c r="AA49" s="1" t="s">
        <x:v>135</x:v>
      </x:c>
      <x:c r="AB49" s="1" t="s">
        <x:v>123</x:v>
      </x:c>
      <x:c r="AC49" s="1" t="s">
        <x:v>132</x:v>
      </x:c>
      <x:c r="AD49" s="1" t="s">
        <x:v>161</x:v>
      </x:c>
      <x:c r="AE49" s="1" t="s">
        <x:v>144</x:v>
      </x:c>
      <x:c r="AF49" s="1" t="s">
        <x:v>164</x:v>
      </x:c>
      <x:c r="AG49" s="1" t="s">
        <x:v>164</x:v>
      </x:c>
      <x:c r="AH49" s="1" t="s">
        <x:v>132</x:v>
      </x:c>
      <x:c r="AI49" s="1" t="s">
        <x:v>118</x:v>
      </x:c>
      <x:c r="AJ49" s="1" t="s">
        <x:v>115</x:v>
      </x:c>
      <x:c r="AK49" s="1" t="s">
        <x:v>135</x:v>
      </x:c>
      <x:c r="AL49" s="1" t="s">
        <x:v>121</x:v>
      </x:c>
      <x:c r="AM49" s="1" t="s">
        <x:v>126</x:v>
      </x:c>
      <x:c r="AN49" s="1" t="s">
        <x:v>117</x:v>
      </x:c>
      <x:c r="AO49" s="1" t="s">
        <x:v>147</x:v>
      </x:c>
      <x:c r="AP49" s="1" t="s">
        <x:v>135</x:v>
      </x:c>
      <x:c r="AQ49" s="1" t="s">
        <x:v>127</x:v>
      </x:c>
      <x:c r="AR49" s="1" t="s">
        <x:v>130</x:v>
      </x:c>
      <x:c r="AS49" s="1" t="s">
        <x:v>116</x:v>
      </x:c>
      <x:c r="AT49" s="1" t="s">
        <x:v>161</x:v>
      </x:c>
      <x:c r="AU49" s="1" t="s">
        <x:v>156</x:v>
      </x:c>
      <x:c r="AV49" s="1" t="s">
        <x:v>123</x:v>
      </x:c>
      <x:c r="AW49" s="1" t="s">
        <x:v>156</x:v>
      </x:c>
      <x:c r="AX49" s="1" t="s">
        <x:v>137</x:v>
      </x:c>
      <x:c r="AY49" s="1" t="s">
        <x:v>138</x:v>
      </x:c>
      <x:c r="AZ49" s="1" t="s">
        <x:v>112</x:v>
      </x:c>
      <x:c r="BA49" s="1" t="s">
        <x:v>173</x:v>
      </x:c>
      <x:c r="BB49" s="1" t="s">
        <x:v>214</x:v>
      </x:c>
      <x:c r="BC49" s="1" t="s">
        <x:v>173</x:v>
      </x:c>
      <x:c r="BD49" s="1" t="s">
        <x:v>63</x:v>
      </x:c>
      <x:c r="BE49" s="11" t="n">
        <x:f>ROUND((((B49*2+C49+D49+E49+F49*2+G49+H49+I49)/10)+((J49*2+K49+L49+M49+N49*2+O49+P49+Q49)/10)*2)/3,2)</x:f>
        <x:v>6.5</x:v>
      </x:c>
      <x:c r="BF49" s="11" t="n">
        <x:f>ROUND((((R49*2+S49+T49+U49+V49*2+W49+X49+Y49)/10)+((Z49*2+AA49+AB49+AC49+AD49*2+AE49+AF49+AG49)/10)*2)/3,2)</x:f>
        <x:v>6.65</x:v>
      </x:c>
      <x:c r="BG49" s="11" t="n">
        <x:f>ROUND((((AH49*2+AI49+AJ49+AK49+AL49*2+AM49+AN49+AO49)/10)+((AP49*2+AQ49+AR49+AS49+AT49*2+AU49+AV49+AW49)/10)*2)/3,2)</x:f>
        <x:v>6.12</x:v>
      </x:c>
      <x:c r="BH49" s="13" t="str">
        <x:f>IF(BE49&lt;5,"Y",IF(BE49&lt;6.5,"TB",IF(BE49&lt;8,"K",IF(BE49&lt;9,"G","XS"))))</x:f>
        <x:v>K</x:v>
      </x:c>
      <x:c r="BI49" s="13" t="str">
        <x:f>IF(BF49&lt;5,"Y",IF(BF49&lt;6.5,"TB",IF(BF49&lt;8,"K",IF(BF49&lt;9,"G","XS"))))</x:f>
        <x:v>K</x:v>
      </x:c>
      <x:c r="BJ49" s="13" t="str">
        <x:f>IF(BG49&lt;5,"Y",IF(BG49&lt;6.5,"TB",IF(BG49&lt;8,"K",IF(BG49&lt;9,"G","XS"))))</x:f>
        <x:v>TB</x:v>
      </x:c>
      <x:c r="BK49" s="11" t="n">
        <x:f>ROUND((BE49/10)*4,2)</x:f>
        <x:v>2.6</x:v>
      </x:c>
      <x:c r="BL49" s="11" t="n">
        <x:f>ROUND((BF49/10)*4,2)</x:f>
        <x:v>2.66</x:v>
      </x:c>
      <x:c r="BM49" s="11" t="n">
        <x:f>ROUND((BG49/10)*4,2)</x:f>
        <x:v>2.45</x:v>
      </x:c>
      <x:c r="BN49" s="13" t="n">
        <x:f>IF(IF(OR(BD49="A",BD49="A1"),(BA49*2+BB49+BC49)/4,IF(BD49="B",(BA49+BB49*2+BC49)/4,(BA49+BB49+BC49)/3))&gt;=5,1,0)</x:f>
        <x:v>0</x:v>
      </x:c>
    </x:row>
    <x:row r="50">
      <x:c r="A50" s="1" t="s">
        <x:v>245</x:v>
      </x:c>
      <x:c r="B50" s="1" t="s">
        <x:v>117</x:v>
      </x:c>
      <x:c r="C50" s="1" t="s">
        <x:v>136</x:v>
      </x:c>
      <x:c r="D50" s="1" t="s">
        <x:v>119</x:v>
      </x:c>
      <x:c r="E50" s="1" t="s">
        <x:v>176</x:v>
      </x:c>
      <x:c r="F50" s="1" t="s">
        <x:v>166</x:v>
      </x:c>
      <x:c r="G50" s="1" t="s">
        <x:v>165</x:v>
      </x:c>
      <x:c r="H50" s="1" t="s">
        <x:v>124</x:v>
      </x:c>
      <x:c r="I50" s="1" t="s">
        <x:v>174</x:v>
      </x:c>
      <x:c r="J50" s="1" t="s">
        <x:v>114</x:v>
      </x:c>
      <x:c r="K50" s="1" t="s">
        <x:v>165</x:v>
      </x:c>
      <x:c r="L50" s="1" t="s">
        <x:v>177</x:v>
      </x:c>
      <x:c r="M50" s="1" t="s">
        <x:v>174</x:v>
      </x:c>
      <x:c r="N50" s="1" t="s">
        <x:v>130</x:v>
      </x:c>
      <x:c r="O50" s="1" t="s">
        <x:v>184</x:v>
      </x:c>
      <x:c r="P50" s="1" t="s">
        <x:v>186</x:v>
      </x:c>
      <x:c r="Q50" s="1" t="s">
        <x:v>177</x:v>
      </x:c>
      <x:c r="R50" s="1" t="s">
        <x:v>181</x:v>
      </x:c>
      <x:c r="S50" s="1" t="s">
        <x:v>136</x:v>
      </x:c>
      <x:c r="T50" s="1" t="s">
        <x:v>185</x:v>
      </x:c>
      <x:c r="U50" s="1" t="s">
        <x:v>136</x:v>
      </x:c>
      <x:c r="V50" s="1" t="s">
        <x:v>144</x:v>
      </x:c>
      <x:c r="W50" s="1" t="s">
        <x:v>135</x:v>
      </x:c>
      <x:c r="X50" s="1" t="s">
        <x:v>185</x:v>
      </x:c>
      <x:c r="Y50" s="1" t="s">
        <x:v>128</x:v>
      </x:c>
      <x:c r="Z50" s="1" t="s">
        <x:v>202</x:v>
      </x:c>
      <x:c r="AA50" s="1" t="s">
        <x:v>136</x:v>
      </x:c>
      <x:c r="AB50" s="1" t="s">
        <x:v>183</x:v>
      </x:c>
      <x:c r="AC50" s="1" t="s">
        <x:v>186</x:v>
      </x:c>
      <x:c r="AD50" s="1" t="s">
        <x:v>166</x:v>
      </x:c>
      <x:c r="AE50" s="1" t="s">
        <x:v>123</x:v>
      </x:c>
      <x:c r="AF50" s="1" t="s">
        <x:v>119</x:v>
      </x:c>
      <x:c r="AG50" s="1" t="s">
        <x:v>119</x:v>
      </x:c>
      <x:c r="AH50" s="1" t="s">
        <x:v>176</x:v>
      </x:c>
      <x:c r="AI50" s="1" t="s">
        <x:v>128</x:v>
      </x:c>
      <x:c r="AJ50" s="1" t="s">
        <x:v>122</x:v>
      </x:c>
      <x:c r="AK50" s="1" t="s">
        <x:v>181</x:v>
      </x:c>
      <x:c r="AL50" s="1" t="s">
        <x:v>156</x:v>
      </x:c>
      <x:c r="AM50" s="1" t="s">
        <x:v>126</x:v>
      </x:c>
      <x:c r="AN50" s="1" t="s">
        <x:v>177</x:v>
      </x:c>
      <x:c r="AO50" s="1" t="s">
        <x:v>174</x:v>
      </x:c>
      <x:c r="AP50" s="1" t="s">
        <x:v>128</x:v>
      </x:c>
      <x:c r="AQ50" s="1" t="s">
        <x:v>122</x:v>
      </x:c>
      <x:c r="AR50" s="1" t="s">
        <x:v>182</x:v>
      </x:c>
      <x:c r="AS50" s="1" t="s">
        <x:v>165</x:v>
      </x:c>
      <x:c r="AT50" s="1" t="s">
        <x:v>158</x:v>
      </x:c>
      <x:c r="AU50" s="1" t="s">
        <x:v>156</x:v>
      </x:c>
      <x:c r="AV50" s="1" t="s">
        <x:v>116</x:v>
      </x:c>
      <x:c r="AW50" s="1" t="s">
        <x:v>117</x:v>
      </x:c>
      <x:c r="AX50" s="1" t="s">
        <x:v>160</x:v>
      </x:c>
      <x:c r="AY50" s="1" t="s">
        <x:v>138</x:v>
      </x:c>
      <x:c r="AZ50" s="1" t="s">
        <x:v>143</x:v>
      </x:c>
      <x:c r="BA50" s="1" t="s">
        <x:v>190</x:v>
      </x:c>
      <x:c r="BB50" s="1" t="s">
        <x:v>135</x:v>
      </x:c>
      <x:c r="BC50" s="1" t="s">
        <x:v>177</x:v>
      </x:c>
      <x:c r="BD50" s="1" t="s">
        <x:v>178</x:v>
      </x:c>
      <x:c r="BE50" s="11" t="n">
        <x:f>ROUND((((B50*2+C50+D50+E50+F50*2+G50+H50+I50)/10)+((J50*2+K50+L50+M50+N50*2+O50+P50+Q50)/10)*2)/3,2)</x:f>
        <x:v>7.55</x:v>
      </x:c>
      <x:c r="BF50" s="11" t="n">
        <x:f>ROUND((((R50*2+S50+T50+U50+V50*2+W50+X50+Y50)/10)+((Z50*2+AA50+AB50+AC50+AD50*2+AE50+AF50+AG50)/10)*2)/3,2)</x:f>
        <x:v>7.76</x:v>
      </x:c>
      <x:c r="BG50" s="11" t="n">
        <x:f>ROUND((((AH50*2+AI50+AJ50+AK50+AL50*2+AM50+AN50+AO50)/10)+((AP50*2+AQ50+AR50+AS50+AT50*2+AU50+AV50+AW50)/10)*2)/3,2)</x:f>
        <x:v>7.18</x:v>
      </x:c>
      <x:c r="BH50" s="13" t="str">
        <x:f>IF(BE50&lt;5,"Y",IF(BE50&lt;6.5,"TB",IF(BE50&lt;8,"K",IF(BE50&lt;9,"G","XS"))))</x:f>
        <x:v>K</x:v>
      </x:c>
      <x:c r="BI50" s="13" t="str">
        <x:f>IF(BF50&lt;5,"Y",IF(BF50&lt;6.5,"TB",IF(BF50&lt;8,"K",IF(BF50&lt;9,"G","XS"))))</x:f>
        <x:v>K</x:v>
      </x:c>
      <x:c r="BJ50" s="13" t="str">
        <x:f>IF(BG50&lt;5,"Y",IF(BG50&lt;6.5,"TB",IF(BG50&lt;8,"K",IF(BG50&lt;9,"G","XS"))))</x:f>
        <x:v>K</x:v>
      </x:c>
      <x:c r="BK50" s="11" t="n">
        <x:f>ROUND((BE50/10)*4,2)</x:f>
        <x:v>3.02</x:v>
      </x:c>
      <x:c r="BL50" s="11" t="n">
        <x:f>ROUND((BF50/10)*4,2)</x:f>
        <x:v>3.1</x:v>
      </x:c>
      <x:c r="BM50" s="11" t="n">
        <x:f>ROUND((BG50/10)*4,2)</x:f>
        <x:v>2.87</x:v>
      </x:c>
      <x:c r="BN50" s="13" t="n">
        <x:f>IF(IF(OR(BD50="A",BD50="A1"),(BA50*2+BB50+BC50)/4,IF(BD50="B",(BA50+BB50*2+BC50)/4,(BA50+BB50+BC50)/3))&gt;=5,1,0)</x:f>
        <x:v>1</x:v>
      </x:c>
    </x:row>
    <x:row r="51">
      <x:c r="A51" s="1" t="s">
        <x:v>246</x:v>
      </x:c>
      <x:c r="B51" s="1" t="s">
        <x:v>117</x:v>
      </x:c>
      <x:c r="C51" s="1" t="s">
        <x:v>161</x:v>
      </x:c>
      <x:c r="D51" s="1" t="s">
        <x:v>168</x:v>
      </x:c>
      <x:c r="E51" s="1" t="s">
        <x:v>125</x:v>
      </x:c>
      <x:c r="F51" s="1" t="s">
        <x:v>177</x:v>
      </x:c>
      <x:c r="G51" s="1" t="s">
        <x:v>129</x:v>
      </x:c>
      <x:c r="H51" s="1" t="s">
        <x:v>119</x:v>
      </x:c>
      <x:c r="I51" s="1" t="s">
        <x:v>116</x:v>
      </x:c>
      <x:c r="J51" s="1" t="s">
        <x:v>128</x:v>
      </x:c>
      <x:c r="K51" s="1" t="s">
        <x:v>165</x:v>
      </x:c>
      <x:c r="L51" s="1" t="s">
        <x:v>159</x:v>
      </x:c>
      <x:c r="M51" s="1" t="s">
        <x:v>124</x:v>
      </x:c>
      <x:c r="N51" s="1" t="s">
        <x:v>184</x:v>
      </x:c>
      <x:c r="O51" s="1" t="s">
        <x:v>117</x:v>
      </x:c>
      <x:c r="P51" s="1" t="s">
        <x:v>122</x:v>
      </x:c>
      <x:c r="Q51" s="1" t="s">
        <x:v>129</x:v>
      </x:c>
      <x:c r="R51" s="1" t="s">
        <x:v>181</x:v>
      </x:c>
      <x:c r="S51" s="1" t="s">
        <x:v>125</x:v>
      </x:c>
      <x:c r="T51" s="1" t="s">
        <x:v>115</x:v>
      </x:c>
      <x:c r="U51" s="1" t="s">
        <x:v>175</x:v>
      </x:c>
      <x:c r="V51" s="1" t="s">
        <x:v>181</x:v>
      </x:c>
      <x:c r="W51" s="1" t="s">
        <x:v>120</x:v>
      </x:c>
      <x:c r="X51" s="1" t="s">
        <x:v>183</x:v>
      </x:c>
      <x:c r="Y51" s="1" t="s">
        <x:v>165</x:v>
      </x:c>
      <x:c r="Z51" s="1" t="s">
        <x:v>121</x:v>
      </x:c>
      <x:c r="AA51" s="1" t="s">
        <x:v>185</x:v>
      </x:c>
      <x:c r="AB51" s="1" t="s">
        <x:v>185</x:v>
      </x:c>
      <x:c r="AC51" s="1" t="s">
        <x:v>176</x:v>
      </x:c>
      <x:c r="AD51" s="1" t="s">
        <x:v>128</x:v>
      </x:c>
      <x:c r="AE51" s="1" t="s">
        <x:v>183</x:v>
      </x:c>
      <x:c r="AF51" s="1" t="s">
        <x:v>128</x:v>
      </x:c>
      <x:c r="AG51" s="1" t="s">
        <x:v>117</x:v>
      </x:c>
      <x:c r="AH51" s="1" t="s">
        <x:v>114</x:v>
      </x:c>
      <x:c r="AI51" s="1" t="s">
        <x:v>159</x:v>
      </x:c>
      <x:c r="AJ51" s="1" t="s">
        <x:v>127</x:v>
      </x:c>
      <x:c r="AK51" s="1" t="s">
        <x:v>164</x:v>
      </x:c>
      <x:c r="AL51" s="1" t="s">
        <x:v>184</x:v>
      </x:c>
      <x:c r="AM51" s="1" t="s">
        <x:v>179</x:v>
      </x:c>
      <x:c r="AN51" s="1" t="s">
        <x:v>128</x:v>
      </x:c>
      <x:c r="AO51" s="1" t="s">
        <x:v>127</x:v>
      </x:c>
      <x:c r="AP51" s="1" t="s">
        <x:v>117</x:v>
      </x:c>
      <x:c r="AQ51" s="1" t="s">
        <x:v>177</x:v>
      </x:c>
      <x:c r="AR51" s="1" t="s">
        <x:v>136</x:v>
      </x:c>
      <x:c r="AS51" s="1" t="s">
        <x:v>114</x:v>
      </x:c>
      <x:c r="AT51" s="1" t="s">
        <x:v>185</x:v>
      </x:c>
      <x:c r="AU51" s="1" t="s">
        <x:v>122</x:v>
      </x:c>
      <x:c r="AV51" s="1" t="s">
        <x:v>135</x:v>
      </x:c>
      <x:c r="AW51" s="1" t="s">
        <x:v>135</x:v>
      </x:c>
      <x:c r="AX51" s="1" t="s">
        <x:v>137</x:v>
      </x:c>
      <x:c r="AY51" s="1" t="s">
        <x:v>138</x:v>
      </x:c>
      <x:c r="AZ51" s="1" t="s">
        <x:v>143</x:v>
      </x:c>
      <x:c r="BA51" s="1" t="s">
        <x:v>134</x:v>
      </x:c>
      <x:c r="BB51" s="1" t="s">
        <x:v>146</x:v>
      </x:c>
      <x:c r="BC51" s="1" t="s">
        <x:v>171</x:v>
      </x:c>
      <x:c r="BD51" s="1" t="s">
        <x:v>63</x:v>
      </x:c>
      <x:c r="BE51" s="11" t="n">
        <x:f>ROUND((((B51*2+C51+D51+E51+F51*2+G51+H51+I51)/10)+((J51*2+K51+L51+M51+N51*2+O51+P51+Q51)/10)*2)/3,2)</x:f>
        <x:v>7.81</x:v>
      </x:c>
      <x:c r="BF51" s="11" t="n">
        <x:f>ROUND((((R51*2+S51+T51+U51+V51*2+W51+X51+Y51)/10)+((Z51*2+AA51+AB51+AC51+AD51*2+AE51+AF51+AG51)/10)*2)/3,2)</x:f>
        <x:v>7.82</x:v>
      </x:c>
      <x:c r="BG51" s="11" t="n">
        <x:f>ROUND((((AH51*2+AI51+AJ51+AK51+AL51*2+AM51+AN51+AO51)/10)+((AP51*2+AQ51+AR51+AS51+AT51*2+AU51+AV51+AW51)/10)*2)/3,2)</x:f>
        <x:v>7.68</x:v>
      </x:c>
      <x:c r="BH51" s="13" t="str">
        <x:f>IF(BE51&lt;5,"Y",IF(BE51&lt;6.5,"TB",IF(BE51&lt;8,"K",IF(BE51&lt;9,"G","XS"))))</x:f>
        <x:v>K</x:v>
      </x:c>
      <x:c r="BI51" s="13" t="str">
        <x:f>IF(BF51&lt;5,"Y",IF(BF51&lt;6.5,"TB",IF(BF51&lt;8,"K",IF(BF51&lt;9,"G","XS"))))</x:f>
        <x:v>K</x:v>
      </x:c>
      <x:c r="BJ51" s="13" t="str">
        <x:f>IF(BG51&lt;5,"Y",IF(BG51&lt;6.5,"TB",IF(BG51&lt;8,"K",IF(BG51&lt;9,"G","XS"))))</x:f>
        <x:v>K</x:v>
      </x:c>
      <x:c r="BK51" s="11" t="n">
        <x:f>ROUND((BE51/10)*4,2)</x:f>
        <x:v>3.12</x:v>
      </x:c>
      <x:c r="BL51" s="11" t="n">
        <x:f>ROUND((BF51/10)*4,2)</x:f>
        <x:v>3.13</x:v>
      </x:c>
      <x:c r="BM51" s="11" t="n">
        <x:f>ROUND((BG51/10)*4,2)</x:f>
        <x:v>3.07</x:v>
      </x:c>
      <x:c r="BN51" s="13" t="n">
        <x:f>IF(IF(OR(BD51="A",BD51="A1"),(BA51*2+BB51+BC51)/4,IF(BD51="B",(BA51+BB51*2+BC51)/4,(BA51+BB51+BC51)/3))&gt;=5,1,0)</x:f>
        <x:v>1</x:v>
      </x:c>
    </x:row>
    <x:row r="52">
      <x:c r="A52" s="1" t="s">
        <x:v>247</x:v>
      </x:c>
      <x:c r="B52" s="1" t="s">
        <x:v>185</x:v>
      </x:c>
      <x:c r="C52" s="1" t="s">
        <x:v>113</x:v>
      </x:c>
      <x:c r="D52" s="1" t="s">
        <x:v>119</x:v>
      </x:c>
      <x:c r="E52" s="1" t="s">
        <x:v>130</x:v>
      </x:c>
      <x:c r="F52" s="1" t="s">
        <x:v>130</x:v>
      </x:c>
      <x:c r="G52" s="1" t="s">
        <x:v>168</x:v>
      </x:c>
      <x:c r="H52" s="1" t="s">
        <x:v>168</x:v>
      </x:c>
      <x:c r="I52" s="1" t="s">
        <x:v>166</x:v>
      </x:c>
      <x:c r="J52" s="1" t="s">
        <x:v>184</x:v>
      </x:c>
      <x:c r="K52" s="1" t="s">
        <x:v>164</x:v>
      </x:c>
      <x:c r="L52" s="1" t="s">
        <x:v>134</x:v>
      </x:c>
      <x:c r="M52" s="1" t="s">
        <x:v>166</x:v>
      </x:c>
      <x:c r="N52" s="1" t="s">
        <x:v>161</x:v>
      </x:c>
      <x:c r="O52" s="1" t="s">
        <x:v>113</x:v>
      </x:c>
      <x:c r="P52" s="1" t="s">
        <x:v>177</x:v>
      </x:c>
      <x:c r="Q52" s="1" t="s">
        <x:v>116</x:v>
      </x:c>
      <x:c r="R52" s="1" t="s">
        <x:v>159</x:v>
      </x:c>
      <x:c r="S52" s="1" t="s">
        <x:v>168</x:v>
      </x:c>
      <x:c r="T52" s="1" t="s">
        <x:v>123</x:v>
      </x:c>
      <x:c r="U52" s="1" t="s">
        <x:v>118</x:v>
      </x:c>
      <x:c r="V52" s="1" t="s">
        <x:v>147</x:v>
      </x:c>
      <x:c r="W52" s="1" t="s">
        <x:v>115</x:v>
      </x:c>
      <x:c r="X52" s="1" t="s">
        <x:v>133</x:v>
      </x:c>
      <x:c r="Y52" s="1" t="s">
        <x:v>132</x:v>
      </x:c>
      <x:c r="Z52" s="1" t="s">
        <x:v>164</x:v>
      </x:c>
      <x:c r="AA52" s="1" t="s">
        <x:v>159</x:v>
      </x:c>
      <x:c r="AB52" s="1" t="s">
        <x:v>130</x:v>
      </x:c>
      <x:c r="AC52" s="1" t="s">
        <x:v>133</x:v>
      </x:c>
      <x:c r="AD52" s="1" t="s">
        <x:v>168</x:v>
      </x:c>
      <x:c r="AE52" s="1" t="s">
        <x:v>125</x:v>
      </x:c>
      <x:c r="AF52" s="1" t="s">
        <x:v>181</x:v>
      </x:c>
      <x:c r="AG52" s="1" t="s">
        <x:v>168</x:v>
      </x:c>
      <x:c r="AH52" s="1" t="s">
        <x:v>165</x:v>
      </x:c>
      <x:c r="AI52" s="1" t="s">
        <x:v>113</x:v>
      </x:c>
      <x:c r="AJ52" s="1" t="s">
        <x:v>123</x:v>
      </x:c>
      <x:c r="AK52" s="1" t="s">
        <x:v>144</x:v>
      </x:c>
      <x:c r="AL52" s="1" t="s">
        <x:v>161</x:v>
      </x:c>
      <x:c r="AM52" s="1" t="s">
        <x:v>168</x:v>
      </x:c>
      <x:c r="AN52" s="1" t="s">
        <x:v>118</x:v>
      </x:c>
      <x:c r="AO52" s="1" t="s">
        <x:v>130</x:v>
      </x:c>
      <x:c r="AP52" s="1" t="s">
        <x:v>136</x:v>
      </x:c>
      <x:c r="AQ52" s="1" t="s">
        <x:v>117</x:v>
      </x:c>
      <x:c r="AR52" s="1" t="s">
        <x:v>177</x:v>
      </x:c>
      <x:c r="AS52" s="1" t="s">
        <x:v>165</x:v>
      </x:c>
      <x:c r="AT52" s="1" t="s">
        <x:v>121</x:v>
      </x:c>
      <x:c r="AU52" s="1" t="s">
        <x:v>123</x:v>
      </x:c>
      <x:c r="AV52" s="1" t="s">
        <x:v>174</x:v>
      </x:c>
      <x:c r="AW52" s="1" t="s">
        <x:v>127</x:v>
      </x:c>
      <x:c r="AX52" s="1" t="s">
        <x:v>137</x:v>
      </x:c>
      <x:c r="AY52" s="1" t="s">
        <x:v>138</x:v>
      </x:c>
      <x:c r="AZ52" s="1" t="s">
        <x:v>139</x:v>
      </x:c>
      <x:c r="BA52" s="1" t="s">
        <x:v>140</x:v>
      </x:c>
      <x:c r="BB52" s="1" t="s">
        <x:v>141</x:v>
      </x:c>
      <x:c r="BC52" s="1" t="s">
        <x:v>146</x:v>
      </x:c>
      <x:c r="BD52" s="1" t="s">
        <x:v>142</x:v>
      </x:c>
      <x:c r="BE52" s="11" t="n">
        <x:f>ROUND((((B52*2+C52+D52+E52+F52*2+G52+H52+I52)/10)+((J52*2+K52+L52+M52+N52*2+O52+P52+Q52)/10)*2)/3,2)</x:f>
        <x:v>6.9</x:v>
      </x:c>
      <x:c r="BF52" s="11" t="n">
        <x:f>ROUND((((R52*2+S52+T52+U52+V52*2+W52+X52+Y52)/10)+((Z52*2+AA52+AB52+AC52+AD52*2+AE52+AF52+AG52)/10)*2)/3,2)</x:f>
        <x:v>6.44</x:v>
      </x:c>
      <x:c r="BG52" s="11" t="n">
        <x:f>ROUND((((AH52*2+AI52+AJ52+AK52+AL52*2+AM52+AN52+AO52)/10)+((AP52*2+AQ52+AR52+AS52+AT52*2+AU52+AV52+AW52)/10)*2)/3,2)</x:f>
        <x:v>6.89</x:v>
      </x:c>
      <x:c r="BH52" s="13" t="str">
        <x:f>IF(BE52&lt;5,"Y",IF(BE52&lt;6.5,"TB",IF(BE52&lt;8,"K",IF(BE52&lt;9,"G","XS"))))</x:f>
        <x:v>K</x:v>
      </x:c>
      <x:c r="BI52" s="13" t="str">
        <x:f>IF(BF52&lt;5,"Y",IF(BF52&lt;6.5,"TB",IF(BF52&lt;8,"K",IF(BF52&lt;9,"G","XS"))))</x:f>
        <x:v>TB</x:v>
      </x:c>
      <x:c r="BJ52" s="13" t="str">
        <x:f>IF(BG52&lt;5,"Y",IF(BG52&lt;6.5,"TB",IF(BG52&lt;8,"K",IF(BG52&lt;9,"G","XS"))))</x:f>
        <x:v>K</x:v>
      </x:c>
      <x:c r="BK52" s="11" t="n">
        <x:f>ROUND((BE52/10)*4,2)</x:f>
        <x:v>2.76</x:v>
      </x:c>
      <x:c r="BL52" s="11" t="n">
        <x:f>ROUND((BF52/10)*4,2)</x:f>
        <x:v>2.58</x:v>
      </x:c>
      <x:c r="BM52" s="11" t="n">
        <x:f>ROUND((BG52/10)*4,2)</x:f>
        <x:v>2.76</x:v>
      </x:c>
      <x:c r="BN52" s="13" t="n">
        <x:f>IF(IF(OR(BD52="A",BD52="A1"),(BA52*2+BB52+BC52)/4,IF(BD52="B",(BA52+BB52*2+BC52)/4,(BA52+BB52+BC52)/3))&gt;=5,1,0)</x:f>
        <x:v>0</x:v>
      </x:c>
    </x:row>
    <x:row r="53">
      <x:c r="A53" s="1" t="s">
        <x:v>248</x:v>
      </x:c>
      <x:c r="B53" s="1" t="s">
        <x:v>118</x:v>
      </x:c>
      <x:c r="C53" s="1" t="s">
        <x:v>129</x:v>
      </x:c>
      <x:c r="D53" s="1" t="s">
        <x:v>132</x:v>
      </x:c>
      <x:c r="E53" s="1" t="s">
        <x:v>121</x:v>
      </x:c>
      <x:c r="F53" s="1" t="s">
        <x:v>166</x:v>
      </x:c>
      <x:c r="G53" s="1" t="s">
        <x:v>127</x:v>
      </x:c>
      <x:c r="H53" s="1" t="s">
        <x:v>114</x:v>
      </x:c>
      <x:c r="I53" s="1" t="s">
        <x:v>132</x:v>
      </x:c>
      <x:c r="J53" s="1" t="s">
        <x:v>166</x:v>
      </x:c>
      <x:c r="K53" s="1" t="s">
        <x:v>159</x:v>
      </x:c>
      <x:c r="L53" s="1" t="s">
        <x:v>133</x:v>
      </x:c>
      <x:c r="M53" s="1" t="s">
        <x:v>159</x:v>
      </x:c>
      <x:c r="N53" s="1" t="s">
        <x:v>115</x:v>
      </x:c>
      <x:c r="O53" s="1" t="s">
        <x:v>123</x:v>
      </x:c>
      <x:c r="P53" s="1" t="s">
        <x:v>129</x:v>
      </x:c>
      <x:c r="Q53" s="1" t="s">
        <x:v>133</x:v>
      </x:c>
      <x:c r="R53" s="1" t="s">
        <x:v>114</x:v>
      </x:c>
      <x:c r="S53" s="1" t="s">
        <x:v>116</x:v>
      </x:c>
      <x:c r="T53" s="1" t="s">
        <x:v>161</x:v>
      </x:c>
      <x:c r="U53" s="1" t="s">
        <x:v>174</x:v>
      </x:c>
      <x:c r="V53" s="1" t="s">
        <x:v>125</x:v>
      </x:c>
      <x:c r="W53" s="1" t="s">
        <x:v>174</x:v>
      </x:c>
      <x:c r="X53" s="1" t="s">
        <x:v>124</x:v>
      </x:c>
      <x:c r="Y53" s="1" t="s">
        <x:v>130</x:v>
      </x:c>
      <x:c r="Z53" s="1" t="s">
        <x:v>117</x:v>
      </x:c>
      <x:c r="AA53" s="1" t="s">
        <x:v>164</x:v>
      </x:c>
      <x:c r="AB53" s="1" t="s">
        <x:v>174</x:v>
      </x:c>
      <x:c r="AC53" s="1" t="s">
        <x:v>202</x:v>
      </x:c>
      <x:c r="AD53" s="1" t="s">
        <x:v>181</x:v>
      </x:c>
      <x:c r="AE53" s="1" t="s">
        <x:v>136</x:v>
      </x:c>
      <x:c r="AF53" s="1" t="s">
        <x:v>128</x:v>
      </x:c>
      <x:c r="AG53" s="1" t="s">
        <x:v>129</x:v>
      </x:c>
      <x:c r="AH53" s="1" t="s">
        <x:v>129</x:v>
      </x:c>
      <x:c r="AI53" s="1" t="s">
        <x:v>115</x:v>
      </x:c>
      <x:c r="AJ53" s="1" t="s">
        <x:v>125</x:v>
      </x:c>
      <x:c r="AK53" s="1" t="s">
        <x:v>166</x:v>
      </x:c>
      <x:c r="AL53" s="1" t="s">
        <x:v>123</x:v>
      </x:c>
      <x:c r="AM53" s="1" t="s">
        <x:v>147</x:v>
      </x:c>
      <x:c r="AN53" s="1" t="s">
        <x:v>131</x:v>
      </x:c>
      <x:c r="AO53" s="1" t="s">
        <x:v>147</x:v>
      </x:c>
      <x:c r="AP53" s="1" t="s">
        <x:v>174</x:v>
      </x:c>
      <x:c r="AQ53" s="1" t="s">
        <x:v>116</x:v>
      </x:c>
      <x:c r="AR53" s="1" t="s">
        <x:v>164</x:v>
      </x:c>
      <x:c r="AS53" s="1" t="s">
        <x:v>115</x:v>
      </x:c>
      <x:c r="AT53" s="1" t="s">
        <x:v>125</x:v>
      </x:c>
      <x:c r="AU53" s="1" t="s">
        <x:v>119</x:v>
      </x:c>
      <x:c r="AV53" s="1" t="s">
        <x:v>164</x:v>
      </x:c>
      <x:c r="AW53" s="1" t="s">
        <x:v>115</x:v>
      </x:c>
      <x:c r="AX53" s="1" t="s">
        <x:v>137</x:v>
      </x:c>
      <x:c r="AY53" s="1" t="s">
        <x:v>138</x:v>
      </x:c>
      <x:c r="AZ53" s="1" t="s">
        <x:v>112</x:v>
      </x:c>
      <x:c r="BA53" s="1" t="s">
        <x:v>143</x:v>
      </x:c>
      <x:c r="BB53" s="1" t="s">
        <x:v>173</x:v>
      </x:c>
      <x:c r="BC53" s="1" t="s">
        <x:v>162</x:v>
      </x:c>
      <x:c r="BD53" s="1" t="s">
        <x:v>178</x:v>
      </x:c>
      <x:c r="BE53" s="11" t="n">
        <x:f>ROUND((((B53*2+C53+D53+E53+F53*2+G53+H53+I53)/10)+((J53*2+K53+L53+M53+N53*2+O53+P53+Q53)/10)*2)/3,2)</x:f>
        <x:v>6.32</x:v>
      </x:c>
      <x:c r="BF53" s="11" t="n">
        <x:f>ROUND((((R53*2+S53+T53+U53+V53*2+W53+X53+Y53)/10)+((Z53*2+AA53+AB53+AC53+AD53*2+AE53+AF53+AG53)/10)*2)/3,2)</x:f>
        <x:v>7.62</x:v>
      </x:c>
      <x:c r="BG53" s="11" t="n">
        <x:f>ROUND((((AH53*2+AI53+AJ53+AK53+AL53*2+AM53+AN53+AO53)/10)+((AP53*2+AQ53+AR53+AS53+AT53*2+AU53+AV53+AW53)/10)*2)/3,2)</x:f>
        <x:v>6.9</x:v>
      </x:c>
      <x:c r="BH53" s="13" t="str">
        <x:f>IF(BE53&lt;5,"Y",IF(BE53&lt;6.5,"TB",IF(BE53&lt;8,"K",IF(BE53&lt;9,"G","XS"))))</x:f>
        <x:v>TB</x:v>
      </x:c>
      <x:c r="BI53" s="13" t="str">
        <x:f>IF(BF53&lt;5,"Y",IF(BF53&lt;6.5,"TB",IF(BF53&lt;8,"K",IF(BF53&lt;9,"G","XS"))))</x:f>
        <x:v>K</x:v>
      </x:c>
      <x:c r="BJ53" s="13" t="str">
        <x:f>IF(BG53&lt;5,"Y",IF(BG53&lt;6.5,"TB",IF(BG53&lt;8,"K",IF(BG53&lt;9,"G","XS"))))</x:f>
        <x:v>K</x:v>
      </x:c>
      <x:c r="BK53" s="11" t="n">
        <x:f>ROUND((BE53/10)*4,2)</x:f>
        <x:v>2.53</x:v>
      </x:c>
      <x:c r="BL53" s="11" t="n">
        <x:f>ROUND((BF53/10)*4,2)</x:f>
        <x:v>3.05</x:v>
      </x:c>
      <x:c r="BM53" s="11" t="n">
        <x:f>ROUND((BG53/10)*4,2)</x:f>
        <x:v>2.76</x:v>
      </x:c>
      <x:c r="BN53" s="13" t="n">
        <x:f>IF(IF(OR(BD53="A",BD53="A1"),(BA53*2+BB53+BC53)/4,IF(BD53="B",(BA53+BB53*2+BC53)/4,(BA53+BB53+BC53)/3))&gt;=5,1,0)</x:f>
        <x:v>0</x:v>
      </x:c>
    </x:row>
    <x:row r="54">
      <x:c r="A54" s="1" t="s">
        <x:v>249</x:v>
      </x:c>
      <x:c r="B54" s="1" t="s">
        <x:v>161</x:v>
      </x:c>
      <x:c r="C54" s="1" t="s">
        <x:v>147</x:v>
      </x:c>
      <x:c r="D54" s="1" t="s">
        <x:v>184</x:v>
      </x:c>
      <x:c r="E54" s="1" t="s">
        <x:v>123</x:v>
      </x:c>
      <x:c r="F54" s="1" t="s">
        <x:v>136</x:v>
      </x:c>
      <x:c r="G54" s="1" t="s">
        <x:v>165</x:v>
      </x:c>
      <x:c r="H54" s="1" t="s">
        <x:v>136</x:v>
      </x:c>
      <x:c r="I54" s="1" t="s">
        <x:v>146</x:v>
      </x:c>
      <x:c r="J54" s="1" t="s">
        <x:v>114</x:v>
      </x:c>
      <x:c r="K54" s="1" t="s">
        <x:v>115</x:v>
      </x:c>
      <x:c r="L54" s="1" t="s">
        <x:v>120</x:v>
      </x:c>
      <x:c r="M54" s="1" t="s">
        <x:v>181</x:v>
      </x:c>
      <x:c r="N54" s="1" t="s">
        <x:v>185</x:v>
      </x:c>
      <x:c r="O54" s="1" t="s">
        <x:v>119</x:v>
      </x:c>
      <x:c r="P54" s="1" t="s">
        <x:v>186</x:v>
      </x:c>
      <x:c r="Q54" s="1" t="s">
        <x:v>132</x:v>
      </x:c>
      <x:c r="R54" s="1" t="s">
        <x:v>125</x:v>
      </x:c>
      <x:c r="S54" s="1" t="s">
        <x:v>129</x:v>
      </x:c>
      <x:c r="T54" s="1" t="s">
        <x:v>184</x:v>
      </x:c>
      <x:c r="U54" s="1" t="s">
        <x:v>175</x:v>
      </x:c>
      <x:c r="V54" s="1" t="s">
        <x:v>128</x:v>
      </x:c>
      <x:c r="W54" s="1" t="s">
        <x:v>122</x:v>
      </x:c>
      <x:c r="X54" s="1" t="s">
        <x:v>114</x:v>
      </x:c>
      <x:c r="Y54" s="1" t="s">
        <x:v>134</x:v>
      </x:c>
      <x:c r="Z54" s="1" t="s">
        <x:v>128</x:v>
      </x:c>
      <x:c r="AA54" s="1" t="s">
        <x:v>161</x:v>
      </x:c>
      <x:c r="AB54" s="1" t="s">
        <x:v>186</x:v>
      </x:c>
      <x:c r="AC54" s="1" t="s">
        <x:v>122</x:v>
      </x:c>
      <x:c r="AD54" s="1" t="s">
        <x:v>117</x:v>
      </x:c>
      <x:c r="AE54" s="1" t="s">
        <x:v>181</x:v>
      </x:c>
      <x:c r="AF54" s="1" t="s">
        <x:v>176</x:v>
      </x:c>
      <x:c r="AG54" s="1" t="s">
        <x:v>121</x:v>
      </x:c>
      <x:c r="AH54" s="1" t="s">
        <x:v>174</x:v>
      </x:c>
      <x:c r="AI54" s="1" t="s">
        <x:v>127</x:v>
      </x:c>
      <x:c r="AJ54" s="1" t="s">
        <x:v>113</x:v>
      </x:c>
      <x:c r="AK54" s="1" t="s">
        <x:v>121</x:v>
      </x:c>
      <x:c r="AL54" s="1" t="s">
        <x:v>165</x:v>
      </x:c>
      <x:c r="AM54" s="1" t="s">
        <x:v>120</x:v>
      </x:c>
      <x:c r="AN54" s="1" t="s">
        <x:v>165</x:v>
      </x:c>
      <x:c r="AO54" s="1" t="s">
        <x:v>132</x:v>
      </x:c>
      <x:c r="AP54" s="1" t="s">
        <x:v>135</x:v>
      </x:c>
      <x:c r="AQ54" s="1" t="s">
        <x:v>114</x:v>
      </x:c>
      <x:c r="AR54" s="1" t="s">
        <x:v>116</x:v>
      </x:c>
      <x:c r="AS54" s="1" t="s">
        <x:v>164</x:v>
      </x:c>
      <x:c r="AT54" s="1" t="s">
        <x:v>165</x:v>
      </x:c>
      <x:c r="AU54" s="1" t="s">
        <x:v>122</x:v>
      </x:c>
      <x:c r="AV54" s="1" t="s">
        <x:v>181</x:v>
      </x:c>
      <x:c r="AW54" s="1" t="s">
        <x:v>130</x:v>
      </x:c>
      <x:c r="AX54" s="1" t="s">
        <x:v>137</x:v>
      </x:c>
      <x:c r="AY54" s="1" t="s">
        <x:v>138</x:v>
      </x:c>
      <x:c r="AZ54" s="1" t="s">
        <x:v>112</x:v>
      </x:c>
      <x:c r="BA54" s="1" t="s">
        <x:v>167</x:v>
      </x:c>
      <x:c r="BB54" s="1" t="s">
        <x:v>140</x:v>
      </x:c>
      <x:c r="BC54" s="1" t="s">
        <x:v>134</x:v>
      </x:c>
      <x:c r="BD54" s="1" t="s">
        <x:v>178</x:v>
      </x:c>
      <x:c r="BE54" s="11" t="n">
        <x:f>ROUND((((B54*2+C54+D54+E54+F54*2+G54+H54+I54)/10)+((J54*2+K54+L54+M54+N54*2+O54+P54+Q54)/10)*2)/3,2)</x:f>
        <x:v>7.38</x:v>
      </x:c>
      <x:c r="BF54" s="11" t="n">
        <x:f>ROUND((((R54*2+S54+T54+U54+V54*2+W54+X54+Y54)/10)+((Z54*2+AA54+AB54+AC54+AD54*2+AE54+AF54+AG54)/10)*2)/3,2)</x:f>
        <x:v>7.74</x:v>
      </x:c>
      <x:c r="BG54" s="11" t="n">
        <x:f>ROUND((((AH54*2+AI54+AJ54+AK54+AL54*2+AM54+AN54+AO54)/10)+((AP54*2+AQ54+AR54+AS54+AT54*2+AU54+AV54+AW54)/10)*2)/3,2)</x:f>
        <x:v>7.21</x:v>
      </x:c>
      <x:c r="BH54" s="13" t="str">
        <x:f>IF(BE54&lt;5,"Y",IF(BE54&lt;6.5,"TB",IF(BE54&lt;8,"K",IF(BE54&lt;9,"G","XS"))))</x:f>
        <x:v>K</x:v>
      </x:c>
      <x:c r="BI54" s="13" t="str">
        <x:f>IF(BF54&lt;5,"Y",IF(BF54&lt;6.5,"TB",IF(BF54&lt;8,"K",IF(BF54&lt;9,"G","XS"))))</x:f>
        <x:v>K</x:v>
      </x:c>
      <x:c r="BJ54" s="13" t="str">
        <x:f>IF(BG54&lt;5,"Y",IF(BG54&lt;6.5,"TB",IF(BG54&lt;8,"K",IF(BG54&lt;9,"G","XS"))))</x:f>
        <x:v>K</x:v>
      </x:c>
      <x:c r="BK54" s="11" t="n">
        <x:f>ROUND((BE54/10)*4,2)</x:f>
        <x:v>2.95</x:v>
      </x:c>
      <x:c r="BL54" s="11" t="n">
        <x:f>ROUND((BF54/10)*4,2)</x:f>
        <x:v>3.1</x:v>
      </x:c>
      <x:c r="BM54" s="11" t="n">
        <x:f>ROUND((BG54/10)*4,2)</x:f>
        <x:v>2.88</x:v>
      </x:c>
      <x:c r="BN54" s="13" t="n">
        <x:f>IF(IF(OR(BD54="A",BD54="A1"),(BA54*2+BB54+BC54)/4,IF(BD54="B",(BA54+BB54*2+BC54)/4,(BA54+BB54+BC54)/3))&gt;=5,1,0)</x:f>
        <x:v>0</x:v>
      </x:c>
    </x:row>
    <x:row r="55">
      <x:c r="A55" s="1" t="s">
        <x:v>250</x:v>
      </x:c>
      <x:c r="B55" s="1" t="s">
        <x:v>147</x:v>
      </x:c>
      <x:c r="C55" s="1" t="s">
        <x:v>116</x:v>
      </x:c>
      <x:c r="D55" s="1" t="s">
        <x:v>116</x:v>
      </x:c>
      <x:c r="E55" s="1" t="s">
        <x:v>114</x:v>
      </x:c>
      <x:c r="F55" s="1" t="s">
        <x:v>159</x:v>
      </x:c>
      <x:c r="G55" s="1" t="s">
        <x:v>119</x:v>
      </x:c>
      <x:c r="H55" s="1" t="s">
        <x:v>123</x:v>
      </x:c>
      <x:c r="I55" s="1" t="s">
        <x:v>181</x:v>
      </x:c>
      <x:c r="J55" s="1" t="s">
        <x:v>177</x:v>
      </x:c>
      <x:c r="K55" s="1" t="s">
        <x:v>113</x:v>
      </x:c>
      <x:c r="L55" s="1" t="s">
        <x:v>135</x:v>
      </x:c>
      <x:c r="M55" s="1" t="s">
        <x:v>116</x:v>
      </x:c>
      <x:c r="N55" s="1" t="s">
        <x:v>127</x:v>
      </x:c>
      <x:c r="O55" s="1" t="s">
        <x:v>177</x:v>
      </x:c>
      <x:c r="P55" s="1" t="s">
        <x:v>117</x:v>
      </x:c>
      <x:c r="Q55" s="1" t="s">
        <x:v>129</x:v>
      </x:c>
      <x:c r="R55" s="1" t="s">
        <x:v>164</x:v>
      </x:c>
      <x:c r="S55" s="1" t="s">
        <x:v>117</x:v>
      </x:c>
      <x:c r="T55" s="1" t="s">
        <x:v>127</x:v>
      </x:c>
      <x:c r="U55" s="1" t="s">
        <x:v>174</x:v>
      </x:c>
      <x:c r="V55" s="1" t="s">
        <x:v>121</x:v>
      </x:c>
      <x:c r="W55" s="1" t="s">
        <x:v>176</x:v>
      </x:c>
      <x:c r="X55" s="1" t="s">
        <x:v>164</x:v>
      </x:c>
      <x:c r="Y55" s="1" t="s">
        <x:v>113</x:v>
      </x:c>
      <x:c r="Z55" s="1" t="s">
        <x:v>123</x:v>
      </x:c>
      <x:c r="AA55" s="1" t="s">
        <x:v>116</x:v>
      </x:c>
      <x:c r="AB55" s="1" t="s">
        <x:v>114</x:v>
      </x:c>
      <x:c r="AC55" s="1" t="s">
        <x:v>125</x:v>
      </x:c>
      <x:c r="AD55" s="1" t="s">
        <x:v>115</x:v>
      </x:c>
      <x:c r="AE55" s="1" t="s">
        <x:v>181</x:v>
      </x:c>
      <x:c r="AF55" s="1" t="s">
        <x:v>159</x:v>
      </x:c>
      <x:c r="AG55" s="1" t="s">
        <x:v>127</x:v>
      </x:c>
      <x:c r="AH55" s="1" t="s">
        <x:v>125</x:v>
      </x:c>
      <x:c r="AI55" s="1" t="s">
        <x:v>159</x:v>
      </x:c>
      <x:c r="AJ55" s="1" t="s">
        <x:v>135</x:v>
      </x:c>
      <x:c r="AK55" s="1" t="s">
        <x:v>130</x:v>
      </x:c>
      <x:c r="AL55" s="1" t="s">
        <x:v>116</x:v>
      </x:c>
      <x:c r="AM55" s="1" t="s">
        <x:v>135</x:v>
      </x:c>
      <x:c r="AN55" s="1" t="s">
        <x:v>127</x:v>
      </x:c>
      <x:c r="AO55" s="1" t="s">
        <x:v>113</x:v>
      </x:c>
      <x:c r="AP55" s="1" t="s">
        <x:v>130</x:v>
      </x:c>
      <x:c r="AQ55" s="1" t="s">
        <x:v>127</x:v>
      </x:c>
      <x:c r="AR55" s="1" t="s">
        <x:v>133</x:v>
      </x:c>
      <x:c r="AS55" s="1" t="s">
        <x:v>118</x:v>
      </x:c>
      <x:c r="AT55" s="1" t="s">
        <x:v>127</x:v>
      </x:c>
      <x:c r="AU55" s="1" t="s">
        <x:v>147</x:v>
      </x:c>
      <x:c r="AV55" s="1" t="s">
        <x:v>116</x:v>
      </x:c>
      <x:c r="AW55" s="1" t="s">
        <x:v>130</x:v>
      </x:c>
      <x:c r="AX55" s="1" t="s">
        <x:v>137</x:v>
      </x:c>
      <x:c r="AY55" s="1" t="s">
        <x:v>138</x:v>
      </x:c>
      <x:c r="AZ55" s="1" t="s">
        <x:v>139</x:v>
      </x:c>
      <x:c r="BA55" s="1" t="s">
        <x:v>188</x:v>
      </x:c>
      <x:c r="BB55" s="1" t="s">
        <x:v>162</x:v>
      </x:c>
      <x:c r="BC55" s="1" t="s">
        <x:v>141</x:v>
      </x:c>
      <x:c r="BD55" s="1" t="s">
        <x:v>63</x:v>
      </x:c>
      <x:c r="BE55" s="11" t="n">
        <x:f>ROUND((((B55*2+C55+D55+E55+F55*2+G55+H55+I55)/10)+((J55*2+K55+L55+M55+N55*2+O55+P55+Q55)/10)*2)/3,2)</x:f>
        <x:v>7.17</x:v>
      </x:c>
      <x:c r="BF55" s="11" t="n">
        <x:f>ROUND((((R55*2+S55+T55+U55+V55*2+W55+X55+Y55)/10)+((Z55*2+AA55+AB55+AC55+AD55*2+AE55+AF55+AG55)/10)*2)/3,2)</x:f>
        <x:v>6.94</x:v>
      </x:c>
      <x:c r="BG55" s="11" t="n">
        <x:f>ROUND((((AH55*2+AI55+AJ55+AK55+AL55*2+AM55+AN55+AO55)/10)+((AP55*2+AQ55+AR55+AS55+AT55*2+AU55+AV55+AW55)/10)*2)/3,2)</x:f>
        <x:v>6.41</x:v>
      </x:c>
      <x:c r="BH55" s="13" t="str">
        <x:f>IF(BE55&lt;5,"Y",IF(BE55&lt;6.5,"TB",IF(BE55&lt;8,"K",IF(BE55&lt;9,"G","XS"))))</x:f>
        <x:v>K</x:v>
      </x:c>
      <x:c r="BI55" s="13" t="str">
        <x:f>IF(BF55&lt;5,"Y",IF(BF55&lt;6.5,"TB",IF(BF55&lt;8,"K",IF(BF55&lt;9,"G","XS"))))</x:f>
        <x:v>K</x:v>
      </x:c>
      <x:c r="BJ55" s="13" t="str">
        <x:f>IF(BG55&lt;5,"Y",IF(BG55&lt;6.5,"TB",IF(BG55&lt;8,"K",IF(BG55&lt;9,"G","XS"))))</x:f>
        <x:v>TB</x:v>
      </x:c>
      <x:c r="BK55" s="11" t="n">
        <x:f>ROUND((BE55/10)*4,2)</x:f>
        <x:v>2.87</x:v>
      </x:c>
      <x:c r="BL55" s="11" t="n">
        <x:f>ROUND((BF55/10)*4,2)</x:f>
        <x:v>2.78</x:v>
      </x:c>
      <x:c r="BM55" s="11" t="n">
        <x:f>ROUND((BG55/10)*4,2)</x:f>
        <x:v>2.56</x:v>
      </x:c>
      <x:c r="BN55" s="13" t="n">
        <x:f>IF(IF(OR(BD55="A",BD55="A1"),(BA55*2+BB55+BC55)/4,IF(BD55="B",(BA55+BB55*2+BC55)/4,(BA55+BB55+BC55)/3))&gt;=5,1,0)</x:f>
        <x:v>0</x:v>
      </x:c>
    </x:row>
    <x:row r="56">
      <x:c r="A56" s="1" t="s">
        <x:v>251</x:v>
      </x:c>
      <x:c r="B56" s="1" t="s">
        <x:v>155</x:v>
      </x:c>
      <x:c r="C56" s="1" t="s">
        <x:v>130</x:v>
      </x:c>
      <x:c r="D56" s="1" t="s">
        <x:v>166</x:v>
      </x:c>
      <x:c r="E56" s="1" t="s">
        <x:v>131</x:v>
      </x:c>
      <x:c r="F56" s="1" t="s">
        <x:v>130</x:v>
      </x:c>
      <x:c r="G56" s="1" t="s">
        <x:v>134</x:v>
      </x:c>
      <x:c r="H56" s="1" t="s">
        <x:v>116</x:v>
      </x:c>
      <x:c r="I56" s="1" t="s">
        <x:v>131</x:v>
      </x:c>
      <x:c r="J56" s="1" t="s">
        <x:v>132</x:v>
      </x:c>
      <x:c r="K56" s="1" t="s">
        <x:v>129</x:v>
      </x:c>
      <x:c r="L56" s="1" t="s">
        <x:v>168</x:v>
      </x:c>
      <x:c r="M56" s="1" t="s">
        <x:v>161</x:v>
      </x:c>
      <x:c r="N56" s="1" t="s">
        <x:v>115</x:v>
      </x:c>
      <x:c r="O56" s="1" t="s">
        <x:v>118</x:v>
      </x:c>
      <x:c r="P56" s="1" t="s">
        <x:v>166</x:v>
      </x:c>
      <x:c r="Q56" s="1" t="s">
        <x:v>123</x:v>
      </x:c>
      <x:c r="R56" s="1" t="s">
        <x:v>167</x:v>
      </x:c>
      <x:c r="S56" s="1" t="s">
        <x:v>170</x:v>
      </x:c>
      <x:c r="T56" s="1" t="s">
        <x:v>134</x:v>
      </x:c>
      <x:c r="U56" s="1" t="s">
        <x:v>134</x:v>
      </x:c>
      <x:c r="V56" s="1" t="s">
        <x:v>141</x:v>
      </x:c>
      <x:c r="W56" s="1" t="s">
        <x:v>211</x:v>
      </x:c>
      <x:c r="X56" s="1" t="s">
        <x:v>121</x:v>
      </x:c>
      <x:c r="Y56" s="1" t="s">
        <x:v>153</x:v>
      </x:c>
      <x:c r="Z56" s="1" t="s">
        <x:v>166</x:v>
      </x:c>
      <x:c r="AA56" s="1" t="s">
        <x:v>169</x:v>
      </x:c>
      <x:c r="AB56" s="1" t="s">
        <x:v>154</x:v>
      </x:c>
      <x:c r="AC56" s="1" t="s">
        <x:v>126</x:v>
      </x:c>
      <x:c r="AD56" s="1" t="s">
        <x:v>169</x:v>
      </x:c>
      <x:c r="AE56" s="1" t="s">
        <x:v>115</x:v>
      </x:c>
      <x:c r="AF56" s="1" t="s">
        <x:v>155</x:v>
      </x:c>
      <x:c r="AG56" s="1" t="s">
        <x:v>158</x:v>
      </x:c>
      <x:c r="AH56" s="1" t="s">
        <x:v>155</x:v>
      </x:c>
      <x:c r="AI56" s="1" t="s">
        <x:v>126</x:v>
      </x:c>
      <x:c r="AJ56" s="1" t="s">
        <x:v>155</x:v>
      </x:c>
      <x:c r="AK56" s="1" t="s">
        <x:v>118</x:v>
      </x:c>
      <x:c r="AL56" s="1" t="s">
        <x:v>118</x:v>
      </x:c>
      <x:c r="AM56" s="1" t="s">
        <x:v>158</x:v>
      </x:c>
      <x:c r="AN56" s="1" t="s">
        <x:v>118</x:v>
      </x:c>
      <x:c r="AO56" s="1" t="s">
        <x:v>144</x:v>
      </x:c>
      <x:c r="AP56" s="1" t="s">
        <x:v>135</x:v>
      </x:c>
      <x:c r="AQ56" s="1" t="s">
        <x:v>165</x:v>
      </x:c>
      <x:c r="AR56" s="1" t="s">
        <x:v>132</x:v>
      </x:c>
      <x:c r="AS56" s="1" t="s">
        <x:v>131</x:v>
      </x:c>
      <x:c r="AT56" s="1" t="s">
        <x:v>126</x:v>
      </x:c>
      <x:c r="AU56" s="1" t="s">
        <x:v>133</x:v>
      </x:c>
      <x:c r="AV56" s="1" t="s">
        <x:v>131</x:v>
      </x:c>
      <x:c r="AW56" s="1" t="s">
        <x:v>115</x:v>
      </x:c>
      <x:c r="AX56" s="1" t="s">
        <x:v>160</x:v>
      </x:c>
      <x:c r="AY56" s="1" t="s">
        <x:v>138</x:v>
      </x:c>
      <x:c r="AZ56" s="1" t="s">
        <x:v>112</x:v>
      </x:c>
      <x:c r="BA56" s="1" t="s">
        <x:v>112</x:v>
      </x:c>
      <x:c r="BB56" s="1" t="s">
        <x:v>118</x:v>
      </x:c>
      <x:c r="BC56" s="1" t="s">
        <x:v>172</x:v>
      </x:c>
      <x:c r="BD56" s="1" t="s">
        <x:v>178</x:v>
      </x:c>
      <x:c r="BE56" s="11" t="n">
        <x:f>ROUND((((B56*2+C56+D56+E56+F56*2+G56+H56+I56)/10)+((J56*2+K56+L56+M56+N56*2+O56+P56+Q56)/10)*2)/3,2)</x:f>
        <x:v>6.07</x:v>
      </x:c>
      <x:c r="BF56" s="11" t="n">
        <x:f>ROUND((((R56*2+S56+T56+U56+V56*2+W56+X56+Y56)/10)+((Z56*2+AA56+AB56+AC56+AD56*2+AE56+AF56+AG56)/10)*2)/3,2)</x:f>
        <x:v>4.7</x:v>
      </x:c>
      <x:c r="BG56" s="11" t="n">
        <x:f>ROUND((((AH56*2+AI56+AJ56+AK56+AL56*2+AM56+AN56+AO56)/10)+((AP56*2+AQ56+AR56+AS56+AT56*2+AU56+AV56+AW56)/10)*2)/3,2)</x:f>
        <x:v>5.74</x:v>
      </x:c>
      <x:c r="BH56" s="13" t="str">
        <x:f>IF(BE56&lt;5,"Y",IF(BE56&lt;6.5,"TB",IF(BE56&lt;8,"K",IF(BE56&lt;9,"G","XS"))))</x:f>
        <x:v>TB</x:v>
      </x:c>
      <x:c r="BI56" s="13" t="str">
        <x:f>IF(BF56&lt;5,"Y",IF(BF56&lt;6.5,"TB",IF(BF56&lt;8,"K",IF(BF56&lt;9,"G","XS"))))</x:f>
        <x:v>Y</x:v>
      </x:c>
      <x:c r="BJ56" s="13" t="str">
        <x:f>IF(BG56&lt;5,"Y",IF(BG56&lt;6.5,"TB",IF(BG56&lt;8,"K",IF(BG56&lt;9,"G","XS"))))</x:f>
        <x:v>TB</x:v>
      </x:c>
      <x:c r="BK56" s="11" t="n">
        <x:f>ROUND((BE56/10)*4,2)</x:f>
        <x:v>2.43</x:v>
      </x:c>
      <x:c r="BL56" s="11" t="n">
        <x:f>ROUND((BF56/10)*4,2)</x:f>
        <x:v>1.88</x:v>
      </x:c>
      <x:c r="BM56" s="11" t="n">
        <x:f>ROUND((BG56/10)*4,2)</x:f>
        <x:v>2.3</x:v>
      </x:c>
      <x:c r="BN56" s="13" t="n">
        <x:f>IF(IF(OR(BD56="A",BD56="A1"),(BA56*2+BB56+BC56)/4,IF(BD56="B",(BA56+BB56*2+BC56)/4,(BA56+BB56+BC56)/3))&gt;=5,1,0)</x:f>
        <x:v>0</x:v>
      </x:c>
    </x:row>
    <x:row r="57">
      <x:c r="A57" s="1" t="s">
        <x:v>252</x:v>
      </x:c>
      <x:c r="B57" s="1" t="s">
        <x:v>147</x:v>
      </x:c>
      <x:c r="C57" s="1" t="s">
        <x:v>133</x:v>
      </x:c>
      <x:c r="D57" s="1" t="s">
        <x:v>144</x:v>
      </x:c>
      <x:c r="E57" s="1" t="s">
        <x:v>158</x:v>
      </x:c>
      <x:c r="F57" s="1" t="s">
        <x:v>154</x:v>
      </x:c>
      <x:c r="G57" s="1" t="s">
        <x:v>123</x:v>
      </x:c>
      <x:c r="H57" s="1" t="s">
        <x:v>150</x:v>
      </x:c>
      <x:c r="I57" s="1" t="s">
        <x:v>147</x:v>
      </x:c>
      <x:c r="J57" s="1" t="s">
        <x:v>156</x:v>
      </x:c>
      <x:c r="K57" s="1" t="s">
        <x:v>155</x:v>
      </x:c>
      <x:c r="L57" s="1" t="s">
        <x:v>199</x:v>
      </x:c>
      <x:c r="M57" s="1" t="s">
        <x:v>133</x:v>
      </x:c>
      <x:c r="N57" s="1" t="s">
        <x:v>144</x:v>
      </x:c>
      <x:c r="O57" s="1" t="s">
        <x:v>168</x:v>
      </x:c>
      <x:c r="P57" s="1" t="s">
        <x:v>114</x:v>
      </x:c>
      <x:c r="Q57" s="1" t="s">
        <x:v>118</x:v>
      </x:c>
      <x:c r="R57" s="1" t="s">
        <x:v>168</x:v>
      </x:c>
      <x:c r="S57" s="1" t="s">
        <x:v>212</x:v>
      </x:c>
      <x:c r="T57" s="1" t="s">
        <x:v>146</x:v>
      </x:c>
      <x:c r="U57" s="1" t="s">
        <x:v>123</x:v>
      </x:c>
      <x:c r="V57" s="1" t="s">
        <x:v>147</x:v>
      </x:c>
      <x:c r="W57" s="1" t="s">
        <x:v>116</x:v>
      </x:c>
      <x:c r="X57" s="1" t="s">
        <x:v>161</x:v>
      </x:c>
      <x:c r="Y57" s="1" t="s">
        <x:v>150</x:v>
      </x:c>
      <x:c r="Z57" s="1" t="s">
        <x:v>131</x:v>
      </x:c>
      <x:c r="AA57" s="1" t="s">
        <x:v>161</x:v>
      </x:c>
      <x:c r="AB57" s="1" t="s">
        <x:v>212</x:v>
      </x:c>
      <x:c r="AC57" s="1" t="s">
        <x:v>168</x:v>
      </x:c>
      <x:c r="AD57" s="1" t="s">
        <x:v>115</x:v>
      </x:c>
      <x:c r="AE57" s="1" t="s">
        <x:v>123</x:v>
      </x:c>
      <x:c r="AF57" s="1" t="s">
        <x:v>156</x:v>
      </x:c>
      <x:c r="AG57" s="1" t="s">
        <x:v>126</x:v>
      </x:c>
      <x:c r="AH57" s="1" t="s">
        <x:v>135</x:v>
      </x:c>
      <x:c r="AI57" s="1" t="s">
        <x:v>144</x:v>
      </x:c>
      <x:c r="AJ57" s="1" t="s">
        <x:v>132</x:v>
      </x:c>
      <x:c r="AK57" s="1" t="s">
        <x:v>158</x:v>
      </x:c>
      <x:c r="AL57" s="1" t="s">
        <x:v>133</x:v>
      </x:c>
      <x:c r="AM57" s="1" t="s">
        <x:v>127</x:v>
      </x:c>
      <x:c r="AN57" s="1" t="s">
        <x:v>115</x:v>
      </x:c>
      <x:c r="AO57" s="1" t="s">
        <x:v>155</x:v>
      </x:c>
      <x:c r="AP57" s="1" t="s">
        <x:v>135</x:v>
      </x:c>
      <x:c r="AQ57" s="1" t="s">
        <x:v>133</x:v>
      </x:c>
      <x:c r="AR57" s="1" t="s">
        <x:v>161</x:v>
      </x:c>
      <x:c r="AS57" s="1" t="s">
        <x:v>133</x:v>
      </x:c>
      <x:c r="AT57" s="1" t="s">
        <x:v>165</x:v>
      </x:c>
      <x:c r="AU57" s="1" t="s">
        <x:v>181</x:v>
      </x:c>
      <x:c r="AV57" s="1" t="s">
        <x:v>161</x:v>
      </x:c>
      <x:c r="AW57" s="1" t="s">
        <x:v>159</x:v>
      </x:c>
      <x:c r="AX57" s="1" t="s">
        <x:v>137</x:v>
      </x:c>
      <x:c r="AY57" s="1" t="s">
        <x:v>138</x:v>
      </x:c>
      <x:c r="AZ57" s="1" t="s">
        <x:v>143</x:v>
      </x:c>
      <x:c r="BA57" s="1" t="s">
        <x:v>141</x:v>
      </x:c>
      <x:c r="BB57" s="1" t="s">
        <x:v>188</x:v>
      </x:c>
      <x:c r="BC57" s="1" t="s">
        <x:v>141</x:v>
      </x:c>
      <x:c r="BD57" s="1" t="s">
        <x:v>63</x:v>
      </x:c>
      <x:c r="BE57" s="11" t="n">
        <x:f>ROUND((((B57*2+C57+D57+E57+F57*2+G57+H57+I57)/10)+((J57*2+K57+L57+M57+N57*2+O57+P57+Q57)/10)*2)/3,2)</x:f>
        <x:v>5.34</x:v>
      </x:c>
      <x:c r="BF57" s="11" t="n">
        <x:f>ROUND((((R57*2+S57+T57+U57+V57*2+W57+X57+Y57)/10)+((Z57*2+AA57+AB57+AC57+AD57*2+AE57+AF57+AG57)/10)*2)/3,2)</x:f>
        <x:v>5.62</x:v>
      </x:c>
      <x:c r="BG57" s="11" t="n">
        <x:f>ROUND((((AH57*2+AI57+AJ57+AK57+AL57*2+AM57+AN57+AO57)/10)+((AP57*2+AQ57+AR57+AS57+AT57*2+AU57+AV57+AW57)/10)*2)/3,2)</x:f>
        <x:v>6.35</x:v>
      </x:c>
      <x:c r="BH57" s="13" t="str">
        <x:f>IF(BE57&lt;5,"Y",IF(BE57&lt;6.5,"TB",IF(BE57&lt;8,"K",IF(BE57&lt;9,"G","XS"))))</x:f>
        <x:v>TB</x:v>
      </x:c>
      <x:c r="BI57" s="13" t="str">
        <x:f>IF(BF57&lt;5,"Y",IF(BF57&lt;6.5,"TB",IF(BF57&lt;8,"K",IF(BF57&lt;9,"G","XS"))))</x:f>
        <x:v>TB</x:v>
      </x:c>
      <x:c r="BJ57" s="13" t="str">
        <x:f>IF(BG57&lt;5,"Y",IF(BG57&lt;6.5,"TB",IF(BG57&lt;8,"K",IF(BG57&lt;9,"G","XS"))))</x:f>
        <x:v>TB</x:v>
      </x:c>
      <x:c r="BK57" s="11" t="n">
        <x:f>ROUND((BE57/10)*4,2)</x:f>
        <x:v>2.14</x:v>
      </x:c>
      <x:c r="BL57" s="11" t="n">
        <x:f>ROUND((BF57/10)*4,2)</x:f>
        <x:v>2.25</x:v>
      </x:c>
      <x:c r="BM57" s="11" t="n">
        <x:f>ROUND((BG57/10)*4,2)</x:f>
        <x:v>2.54</x:v>
      </x:c>
      <x:c r="BN57" s="13" t="n">
        <x:f>IF(IF(OR(BD57="A",BD57="A1"),(BA57*2+BB57+BC57)/4,IF(BD57="B",(BA57+BB57*2+BC57)/4,(BA57+BB57+BC57)/3))&gt;=5,1,0)</x:f>
        <x:v>0</x:v>
      </x:c>
    </x:row>
    <x:row r="58">
      <x:c r="A58" s="1" t="s">
        <x:v>253</x:v>
      </x:c>
      <x:c r="B58" s="1" t="s">
        <x:v>117</x:v>
      </x:c>
      <x:c r="C58" s="1" t="s">
        <x:v>127</x:v>
      </x:c>
      <x:c r="D58" s="1" t="s">
        <x:v>116</x:v>
      </x:c>
      <x:c r="E58" s="1" t="s">
        <x:v>116</x:v>
      </x:c>
      <x:c r="F58" s="1" t="s">
        <x:v>116</x:v>
      </x:c>
      <x:c r="G58" s="1" t="s">
        <x:v>145</x:v>
      </x:c>
      <x:c r="H58" s="1" t="s">
        <x:v>131</x:v>
      </x:c>
      <x:c r="I58" s="1" t="s">
        <x:v>168</x:v>
      </x:c>
      <x:c r="J58" s="1" t="s">
        <x:v>119</x:v>
      </x:c>
      <x:c r="K58" s="1" t="s">
        <x:v>114</x:v>
      </x:c>
      <x:c r="L58" s="1" t="s">
        <x:v>168</x:v>
      </x:c>
      <x:c r="M58" s="1" t="s">
        <x:v>121</x:v>
      </x:c>
      <x:c r="N58" s="1" t="s">
        <x:v>129</x:v>
      </x:c>
      <x:c r="O58" s="1" t="s">
        <x:v>115</x:v>
      </x:c>
      <x:c r="P58" s="1" t="s">
        <x:v>168</x:v>
      </x:c>
      <x:c r="Q58" s="1" t="s">
        <x:v>113</x:v>
      </x:c>
      <x:c r="R58" s="1" t="s">
        <x:v>184</x:v>
      </x:c>
      <x:c r="S58" s="1" t="s">
        <x:v>128</x:v>
      </x:c>
      <x:c r="T58" s="1" t="s">
        <x:v>132</x:v>
      </x:c>
      <x:c r="U58" s="1" t="s">
        <x:v>131</x:v>
      </x:c>
      <x:c r="V58" s="1" t="s">
        <x:v>132</x:v>
      </x:c>
      <x:c r="W58" s="1" t="s">
        <x:v>123</x:v>
      </x:c>
      <x:c r="X58" s="1" t="s">
        <x:v>135</x:v>
      </x:c>
      <x:c r="Y58" s="1" t="s">
        <x:v>130</x:v>
      </x:c>
      <x:c r="Z58" s="1" t="s">
        <x:v>119</x:v>
      </x:c>
      <x:c r="AA58" s="1" t="s">
        <x:v>116</x:v>
      </x:c>
      <x:c r="AB58" s="1" t="s">
        <x:v>116</x:v>
      </x:c>
      <x:c r="AC58" s="1" t="s">
        <x:v>133</x:v>
      </x:c>
      <x:c r="AD58" s="1" t="s">
        <x:v>115</x:v>
      </x:c>
      <x:c r="AE58" s="1" t="s">
        <x:v>116</x:v>
      </x:c>
      <x:c r="AF58" s="1" t="s">
        <x:v>125</x:v>
      </x:c>
      <x:c r="AG58" s="1" t="s">
        <x:v>123</x:v>
      </x:c>
      <x:c r="AH58" s="1" t="s">
        <x:v>254</x:v>
      </x:c>
      <x:c r="AI58" s="1" t="s">
        <x:v>128</x:v>
      </x:c>
      <x:c r="AJ58" s="1" t="s">
        <x:v>117</x:v>
      </x:c>
      <x:c r="AK58" s="1" t="s">
        <x:v>128</x:v>
      </x:c>
      <x:c r="AL58" s="1" t="s">
        <x:v>116</x:v>
      </x:c>
      <x:c r="AM58" s="1" t="s">
        <x:v>170</x:v>
      </x:c>
      <x:c r="AN58" s="1" t="s">
        <x:v>174</x:v>
      </x:c>
      <x:c r="AO58" s="1" t="s">
        <x:v>164</x:v>
      </x:c>
      <x:c r="AP58" s="1" t="s">
        <x:v>254</x:v>
      </x:c>
      <x:c r="AQ58" s="1" t="s">
        <x:v>119</x:v>
      </x:c>
      <x:c r="AR58" s="1" t="s">
        <x:v>159</x:v>
      </x:c>
      <x:c r="AS58" s="1" t="s">
        <x:v>174</x:v>
      </x:c>
      <x:c r="AT58" s="1" t="s">
        <x:v>114</x:v>
      </x:c>
      <x:c r="AU58" s="1" t="s">
        <x:v>159</x:v>
      </x:c>
      <x:c r="AV58" s="1" t="s">
        <x:v>127</x:v>
      </x:c>
      <x:c r="AW58" s="1" t="s">
        <x:v>135</x:v>
      </x:c>
      <x:c r="AX58" s="1" t="s">
        <x:v>137</x:v>
      </x:c>
      <x:c r="AY58" s="1" t="s">
        <x:v>138</x:v>
      </x:c>
      <x:c r="AZ58" s="1" t="s">
        <x:v>139</x:v>
      </x:c>
      <x:c r="BA58" s="1" t="s">
        <x:v>172</x:v>
      </x:c>
      <x:c r="BB58" s="1" t="s">
        <x:v>190</x:v>
      </x:c>
      <x:c r="BC58" s="1" t="s">
        <x:v>140</x:v>
      </x:c>
      <x:c r="BD58" s="1" t="s">
        <x:v>142</x:v>
      </x:c>
      <x:c r="BE58" s="11" t="n">
        <x:f>ROUND((((B58*2+C58+D58+E58+F58*2+G58+H58+I58)/10)+((J58*2+K58+L58+M58+N58*2+O58+P58+Q58)/10)*2)/3,2)</x:f>
        <x:v>6.91</x:v>
      </x:c>
      <x:c r="BF58" s="11" t="n">
        <x:f>ROUND((((R58*2+S58+T58+U58+V58*2+W58+X58+Y58)/10)+((Z58*2+AA58+AB58+AC58+AD58*2+AE58+AF58+AG58)/10)*2)/3,2)</x:f>
        <x:v>6.94</x:v>
      </x:c>
      <x:c r="BG58" s="11" t="n">
        <x:f>ROUND((((AH58*2+AI58+AJ58+AK58+AL58*2+AM58+AN58+AO58)/10)+((AP58*2+AQ58+AR58+AS58+AT58*2+AU58+AV58+AW58)/10)*2)/3,2)</x:f>
        <x:v>7.65</x:v>
      </x:c>
      <x:c r="BH58" s="13" t="str">
        <x:f>IF(BE58&lt;5,"Y",IF(BE58&lt;6.5,"TB",IF(BE58&lt;8,"K",IF(BE58&lt;9,"G","XS"))))</x:f>
        <x:v>K</x:v>
      </x:c>
      <x:c r="BI58" s="13" t="str">
        <x:f>IF(BF58&lt;5,"Y",IF(BF58&lt;6.5,"TB",IF(BF58&lt;8,"K",IF(BF58&lt;9,"G","XS"))))</x:f>
        <x:v>K</x:v>
      </x:c>
      <x:c r="BJ58" s="13" t="str">
        <x:f>IF(BG58&lt;5,"Y",IF(BG58&lt;6.5,"TB",IF(BG58&lt;8,"K",IF(BG58&lt;9,"G","XS"))))</x:f>
        <x:v>K</x:v>
      </x:c>
      <x:c r="BK58" s="11" t="n">
        <x:f>ROUND((BE58/10)*4,2)</x:f>
        <x:v>2.76</x:v>
      </x:c>
      <x:c r="BL58" s="11" t="n">
        <x:f>ROUND((BF58/10)*4,2)</x:f>
        <x:v>2.78</x:v>
      </x:c>
      <x:c r="BM58" s="11" t="n">
        <x:f>ROUND((BG58/10)*4,2)</x:f>
        <x:v>3.06</x:v>
      </x:c>
      <x:c r="BN58" s="13" t="n">
        <x:f>IF(IF(OR(BD58="A",BD58="A1"),(BA58*2+BB58+BC58)/4,IF(BD58="B",(BA58+BB58*2+BC58)/4,(BA58+BB58+BC58)/3))&gt;=5,1,0)</x:f>
        <x:v>0</x:v>
      </x:c>
    </x:row>
    <x:row r="59">
      <x:c r="A59" s="1" t="s">
        <x:v>255</x:v>
      </x:c>
      <x:c r="B59" s="1" t="s">
        <x:v>115</x:v>
      </x:c>
      <x:c r="C59" s="1" t="s">
        <x:v>127</x:v>
      </x:c>
      <x:c r="D59" s="1" t="s">
        <x:v>127</x:v>
      </x:c>
      <x:c r="E59" s="1" t="s">
        <x:v>127</x:v>
      </x:c>
      <x:c r="F59" s="1" t="s">
        <x:v>164</x:v>
      </x:c>
      <x:c r="G59" s="1" t="s">
        <x:v>166</x:v>
      </x:c>
      <x:c r="H59" s="1" t="s">
        <x:v>136</x:v>
      </x:c>
      <x:c r="I59" s="1" t="s">
        <x:v>159</x:v>
      </x:c>
      <x:c r="J59" s="1" t="s">
        <x:v>116</x:v>
      </x:c>
      <x:c r="K59" s="1" t="s">
        <x:v>174</x:v>
      </x:c>
      <x:c r="L59" s="1" t="s">
        <x:v>127</x:v>
      </x:c>
      <x:c r="M59" s="1" t="s">
        <x:v>184</x:v>
      </x:c>
      <x:c r="N59" s="1" t="s">
        <x:v>166</x:v>
      </x:c>
      <x:c r="O59" s="1" t="s">
        <x:v>135</x:v>
      </x:c>
      <x:c r="P59" s="1" t="s">
        <x:v>164</x:v>
      </x:c>
      <x:c r="Q59" s="1" t="s">
        <x:v>115</x:v>
      </x:c>
      <x:c r="R59" s="1" t="s">
        <x:v>118</x:v>
      </x:c>
      <x:c r="S59" s="1" t="s">
        <x:v>164</x:v>
      </x:c>
      <x:c r="T59" s="1" t="s">
        <x:v>133</x:v>
      </x:c>
      <x:c r="U59" s="1" t="s">
        <x:v>129</x:v>
      </x:c>
      <x:c r="V59" s="1" t="s">
        <x:v>123</x:v>
      </x:c>
      <x:c r="W59" s="1" t="s">
        <x:v>176</x:v>
      </x:c>
      <x:c r="X59" s="1" t="s">
        <x:v>174</x:v>
      </x:c>
      <x:c r="Y59" s="1" t="s">
        <x:v>130</x:v>
      </x:c>
      <x:c r="Z59" s="1" t="s">
        <x:v>115</x:v>
      </x:c>
      <x:c r="AA59" s="1" t="s">
        <x:v>174</x:v>
      </x:c>
      <x:c r="AB59" s="1" t="s">
        <x:v>115</x:v>
      </x:c>
      <x:c r="AC59" s="1" t="s">
        <x:v>125</x:v>
      </x:c>
      <x:c r="AD59" s="1" t="s">
        <x:v>114</x:v>
      </x:c>
      <x:c r="AE59" s="1" t="s">
        <x:v>128</x:v>
      </x:c>
      <x:c r="AF59" s="1" t="s">
        <x:v>135</x:v>
      </x:c>
      <x:c r="AG59" s="1" t="s">
        <x:v>116</x:v>
      </x:c>
      <x:c r="AH59" s="1" t="s">
        <x:v>184</x:v>
      </x:c>
      <x:c r="AI59" s="1" t="s">
        <x:v>129</x:v>
      </x:c>
      <x:c r="AJ59" s="1" t="s">
        <x:v>114</x:v>
      </x:c>
      <x:c r="AK59" s="1" t="s">
        <x:v>123</x:v>
      </x:c>
      <x:c r="AL59" s="1" t="s">
        <x:v>113</x:v>
      </x:c>
      <x:c r="AM59" s="1" t="s">
        <x:v>116</x:v>
      </x:c>
      <x:c r="AN59" s="1" t="s">
        <x:v>127</x:v>
      </x:c>
      <x:c r="AO59" s="1" t="s">
        <x:v>129</x:v>
      </x:c>
      <x:c r="AP59" s="1" t="s">
        <x:v>124</x:v>
      </x:c>
      <x:c r="AQ59" s="1" t="s">
        <x:v>116</x:v>
      </x:c>
      <x:c r="AR59" s="1" t="s">
        <x:v>123</x:v>
      </x:c>
      <x:c r="AS59" s="1" t="s">
        <x:v>125</x:v>
      </x:c>
      <x:c r="AT59" s="1" t="s">
        <x:v>125</x:v>
      </x:c>
      <x:c r="AU59" s="1" t="s">
        <x:v>116</x:v>
      </x:c>
      <x:c r="AV59" s="1" t="s">
        <x:v>127</x:v>
      </x:c>
      <x:c r="AW59" s="1" t="s">
        <x:v>159</x:v>
      </x:c>
      <x:c r="AX59" s="1" t="s">
        <x:v>137</x:v>
      </x:c>
      <x:c r="AY59" s="1" t="s">
        <x:v>138</x:v>
      </x:c>
      <x:c r="AZ59" s="1" t="s">
        <x:v>112</x:v>
      </x:c>
      <x:c r="BA59" s="1" t="s">
        <x:v>161</x:v>
      </x:c>
      <x:c r="BB59" s="1" t="s">
        <x:v>118</x:v>
      </x:c>
      <x:c r="BC59" s="1" t="s">
        <x:v>134</x:v>
      </x:c>
      <x:c r="BD59" s="1" t="s">
        <x:v>178</x:v>
      </x:c>
      <x:c r="BE59" s="11" t="n">
        <x:f>ROUND((((B59*2+C59+D59+E59+F59*2+G59+H59+I59)/10)+((J59*2+K59+L59+M59+N59*2+O59+P59+Q59)/10)*2)/3,2)</x:f>
        <x:v>6.85</x:v>
      </x:c>
      <x:c r="BF59" s="11" t="n">
        <x:f>ROUND((((R59*2+S59+T59+U59+V59*2+W59+X59+Y59)/10)+((Z59*2+AA59+AB59+AC59+AD59*2+AE59+AF59+AG59)/10)*2)/3,2)</x:f>
        <x:v>6.88</x:v>
      </x:c>
      <x:c r="BG59" s="11" t="n">
        <x:f>ROUND((((AH59*2+AI59+AJ59+AK59+AL59*2+AM59+AN59+AO59)/10)+((AP59*2+AQ59+AR59+AS59+AT59*2+AU59+AV59+AW59)/10)*2)/3,2)</x:f>
        <x:v>7.37</x:v>
      </x:c>
      <x:c r="BH59" s="13" t="str">
        <x:f>IF(BE59&lt;5,"Y",IF(BE59&lt;6.5,"TB",IF(BE59&lt;8,"K",IF(BE59&lt;9,"G","XS"))))</x:f>
        <x:v>K</x:v>
      </x:c>
      <x:c r="BI59" s="13" t="str">
        <x:f>IF(BF59&lt;5,"Y",IF(BF59&lt;6.5,"TB",IF(BF59&lt;8,"K",IF(BF59&lt;9,"G","XS"))))</x:f>
        <x:v>K</x:v>
      </x:c>
      <x:c r="BJ59" s="13" t="str">
        <x:f>IF(BG59&lt;5,"Y",IF(BG59&lt;6.5,"TB",IF(BG59&lt;8,"K",IF(BG59&lt;9,"G","XS"))))</x:f>
        <x:v>K</x:v>
      </x:c>
      <x:c r="BK59" s="11" t="n">
        <x:f>ROUND((BE59/10)*4,2)</x:f>
        <x:v>2.74</x:v>
      </x:c>
      <x:c r="BL59" s="11" t="n">
        <x:f>ROUND((BF59/10)*4,2)</x:f>
        <x:v>2.75</x:v>
      </x:c>
      <x:c r="BM59" s="11" t="n">
        <x:f>ROUND((BG59/10)*4,2)</x:f>
        <x:v>2.95</x:v>
      </x:c>
      <x:c r="BN59" s="13" t="n">
        <x:f>IF(IF(OR(BD59="A",BD59="A1"),(BA59*2+BB59+BC59)/4,IF(BD59="B",(BA59+BB59*2+BC59)/4,(BA59+BB59+BC59)/3))&gt;=5,1,0)</x:f>
        <x:v>1</x:v>
      </x:c>
    </x:row>
    <x:row r="60">
      <x:c r="A60" s="1" t="s">
        <x:v>256</x:v>
      </x:c>
      <x:c r="B60" s="1" t="s">
        <x:v>113</x:v>
      </x:c>
      <x:c r="C60" s="1" t="s">
        <x:v>136</x:v>
      </x:c>
      <x:c r="D60" s="1" t="s">
        <x:v>123</x:v>
      </x:c>
      <x:c r="E60" s="1" t="s">
        <x:v>123</x:v>
      </x:c>
      <x:c r="F60" s="1" t="s">
        <x:v>134</x:v>
      </x:c>
      <x:c r="G60" s="1" t="s">
        <x:v>129</x:v>
      </x:c>
      <x:c r="H60" s="1" t="s">
        <x:v>164</x:v>
      </x:c>
      <x:c r="I60" s="1" t="s">
        <x:v>179</x:v>
      </x:c>
      <x:c r="J60" s="1" t="s">
        <x:v>114</x:v>
      </x:c>
      <x:c r="K60" s="1" t="s">
        <x:v>116</x:v>
      </x:c>
      <x:c r="L60" s="1" t="s">
        <x:v>185</x:v>
      </x:c>
      <x:c r="M60" s="1" t="s">
        <x:v>185</x:v>
      </x:c>
      <x:c r="N60" s="1" t="s">
        <x:v>118</x:v>
      </x:c>
      <x:c r="O60" s="1" t="s">
        <x:v>127</x:v>
      </x:c>
      <x:c r="P60" s="1" t="s">
        <x:v>128</x:v>
      </x:c>
      <x:c r="Q60" s="1" t="s">
        <x:v>119</x:v>
      </x:c>
      <x:c r="R60" s="1" t="s">
        <x:v>165</x:v>
      </x:c>
      <x:c r="S60" s="1" t="s">
        <x:v>181</x:v>
      </x:c>
      <x:c r="T60" s="1" t="s">
        <x:v>176</x:v>
      </x:c>
      <x:c r="U60" s="1" t="s">
        <x:v>135</x:v>
      </x:c>
      <x:c r="V60" s="1" t="s">
        <x:v>118</x:v>
      </x:c>
      <x:c r="W60" s="1" t="s">
        <x:v>125</x:v>
      </x:c>
      <x:c r="X60" s="1" t="s">
        <x:v>181</x:v>
      </x:c>
      <x:c r="Y60" s="1" t="s">
        <x:v>124</x:v>
      </x:c>
      <x:c r="Z60" s="1" t="s">
        <x:v>136</x:v>
      </x:c>
      <x:c r="AA60" s="1" t="s">
        <x:v>136</x:v>
      </x:c>
      <x:c r="AB60" s="1" t="s">
        <x:v>186</x:v>
      </x:c>
      <x:c r="AC60" s="1" t="s">
        <x:v>136</x:v>
      </x:c>
      <x:c r="AD60" s="1" t="s">
        <x:v>170</x:v>
      </x:c>
      <x:c r="AE60" s="1" t="s">
        <x:v>116</x:v>
      </x:c>
      <x:c r="AF60" s="1" t="s">
        <x:v>121</x:v>
      </x:c>
      <x:c r="AG60" s="1" t="s">
        <x:v>124</x:v>
      </x:c>
      <x:c r="AH60" s="1" t="s">
        <x:v>181</x:v>
      </x:c>
      <x:c r="AI60" s="1" t="s">
        <x:v>123</x:v>
      </x:c>
      <x:c r="AJ60" s="1" t="s">
        <x:v>128</x:v>
      </x:c>
      <x:c r="AK60" s="1" t="s">
        <x:v>130</x:v>
      </x:c>
      <x:c r="AL60" s="1" t="s">
        <x:v>131</x:v>
      </x:c>
      <x:c r="AM60" s="1" t="s">
        <x:v>121</x:v>
      </x:c>
      <x:c r="AN60" s="1" t="s">
        <x:v>114</x:v>
      </x:c>
      <x:c r="AO60" s="1" t="s">
        <x:v>128</x:v>
      </x:c>
      <x:c r="AP60" s="1" t="s">
        <x:v>168</x:v>
      </x:c>
      <x:c r="AQ60" s="1" t="s">
        <x:v>120</x:v>
      </x:c>
      <x:c r="AR60" s="1" t="s">
        <x:v>181</x:v>
      </x:c>
      <x:c r="AS60" s="1" t="s">
        <x:v>159</x:v>
      </x:c>
      <x:c r="AT60" s="1" t="s">
        <x:v>195</x:v>
      </x:c>
      <x:c r="AU60" s="1" t="s">
        <x:v>123</x:v>
      </x:c>
      <x:c r="AV60" s="1" t="s">
        <x:v>164</x:v>
      </x:c>
      <x:c r="AW60" s="1" t="s">
        <x:v>117</x:v>
      </x:c>
      <x:c r="AX60" s="1" t="s">
        <x:v>137</x:v>
      </x:c>
      <x:c r="AY60" s="1" t="s">
        <x:v>138</x:v>
      </x:c>
      <x:c r="AZ60" s="1" t="s">
        <x:v>112</x:v>
      </x:c>
      <x:c r="BA60" s="1" t="s">
        <x:v>143</x:v>
      </x:c>
      <x:c r="BB60" s="1" t="s">
        <x:v>118</x:v>
      </x:c>
      <x:c r="BC60" s="1" t="s">
        <x:v>134</x:v>
      </x:c>
      <x:c r="BD60" s="1" t="s">
        <x:v>142</x:v>
      </x:c>
      <x:c r="BE60" s="11" t="n">
        <x:f>ROUND((((B60*2+C60+D60+E60+F60*2+G60+H60+I60)/10)+((J60*2+K60+L60+M60+N60*2+O60+P60+Q60)/10)*2)/3,2)</x:f>
        <x:v>7.11</x:v>
      </x:c>
      <x:c r="BF60" s="11" t="n">
        <x:f>ROUND((((R60*2+S60+T60+U60+V60*2+W60+X60+Y60)/10)+((Z60*2+AA60+AB60+AC60+AD60*2+AE60+AF60+AG60)/10)*2)/3,2)</x:f>
        <x:v>7.11</x:v>
      </x:c>
      <x:c r="BG60" s="11" t="n">
        <x:f>ROUND((((AH60*2+AI60+AJ60+AK60+AL60*2+AM60+AN60+AO60)/10)+((AP60*2+AQ60+AR60+AS60+AT60*2+AU60+AV60+AW60)/10)*2)/3,2)</x:f>
        <x:v>6.68</x:v>
      </x:c>
      <x:c r="BH60" s="13" t="str">
        <x:f>IF(BE60&lt;5,"Y",IF(BE60&lt;6.5,"TB",IF(BE60&lt;8,"K",IF(BE60&lt;9,"G","XS"))))</x:f>
        <x:v>K</x:v>
      </x:c>
      <x:c r="BI60" s="13" t="str">
        <x:f>IF(BF60&lt;5,"Y",IF(BF60&lt;6.5,"TB",IF(BF60&lt;8,"K",IF(BF60&lt;9,"G","XS"))))</x:f>
        <x:v>K</x:v>
      </x:c>
      <x:c r="BJ60" s="13" t="str">
        <x:f>IF(BG60&lt;5,"Y",IF(BG60&lt;6.5,"TB",IF(BG60&lt;8,"K",IF(BG60&lt;9,"G","XS"))))</x:f>
        <x:v>K</x:v>
      </x:c>
      <x:c r="BK60" s="11" t="n">
        <x:f>ROUND((BE60/10)*4,2)</x:f>
        <x:v>2.84</x:v>
      </x:c>
      <x:c r="BL60" s="11" t="n">
        <x:f>ROUND((BF60/10)*4,2)</x:f>
        <x:v>2.84</x:v>
      </x:c>
      <x:c r="BM60" s="11" t="n">
        <x:f>ROUND((BG60/10)*4,2)</x:f>
        <x:v>2.67</x:v>
      </x:c>
      <x:c r="BN60" s="13" t="n">
        <x:f>IF(IF(OR(BD60="A",BD60="A1"),(BA60*2+BB60+BC60)/4,IF(BD60="B",(BA60+BB60*2+BC60)/4,(BA60+BB60+BC60)/3))&gt;=5,1,0)</x:f>
        <x:v>0</x:v>
      </x:c>
    </x:row>
    <x:row r="61">
      <x:c r="A61" s="1" t="s">
        <x:v>257</x:v>
      </x:c>
      <x:c r="B61" s="1" t="s">
        <x:v>135</x:v>
      </x:c>
      <x:c r="C61" s="1" t="s">
        <x:v>121</x:v>
      </x:c>
      <x:c r="D61" s="1" t="s">
        <x:v>125</x:v>
      </x:c>
      <x:c r="E61" s="1" t="s">
        <x:v>174</x:v>
      </x:c>
      <x:c r="F61" s="1" t="s">
        <x:v>113</x:v>
      </x:c>
      <x:c r="G61" s="1" t="s">
        <x:v>165</x:v>
      </x:c>
      <x:c r="H61" s="1" t="s">
        <x:v>135</x:v>
      </x:c>
      <x:c r="I61" s="1" t="s">
        <x:v>158</x:v>
      </x:c>
      <x:c r="J61" s="1" t="s">
        <x:v>175</x:v>
      </x:c>
      <x:c r="K61" s="1" t="s">
        <x:v>125</x:v>
      </x:c>
      <x:c r="L61" s="1" t="s">
        <x:v>164</x:v>
      </x:c>
      <x:c r="M61" s="1" t="s">
        <x:v>185</x:v>
      </x:c>
      <x:c r="N61" s="1" t="s">
        <x:v>174</x:v>
      </x:c>
      <x:c r="O61" s="1" t="s">
        <x:v>181</x:v>
      </x:c>
      <x:c r="P61" s="1" t="s">
        <x:v>164</x:v>
      </x:c>
      <x:c r="Q61" s="1" t="s">
        <x:v>161</x:v>
      </x:c>
      <x:c r="R61" s="1" t="s">
        <x:v>175</x:v>
      </x:c>
      <x:c r="S61" s="1" t="s">
        <x:v>133</x:v>
      </x:c>
      <x:c r="T61" s="1" t="s">
        <x:v>119</x:v>
      </x:c>
      <x:c r="U61" s="1" t="s">
        <x:v>175</x:v>
      </x:c>
      <x:c r="V61" s="1" t="s">
        <x:v>114</x:v>
      </x:c>
      <x:c r="W61" s="1" t="s">
        <x:v>129</x:v>
      </x:c>
      <x:c r="X61" s="1" t="s">
        <x:v>132</x:v>
      </x:c>
      <x:c r="Y61" s="1" t="s">
        <x:v>177</x:v>
      </x:c>
      <x:c r="Z61" s="1" t="s">
        <x:v>129</x:v>
      </x:c>
      <x:c r="AA61" s="1" t="s">
        <x:v>133</x:v>
      </x:c>
      <x:c r="AB61" s="1" t="s">
        <x:v>133</x:v>
      </x:c>
      <x:c r="AC61" s="1" t="s">
        <x:v>117</x:v>
      </x:c>
      <x:c r="AD61" s="1" t="s">
        <x:v>116</x:v>
      </x:c>
      <x:c r="AE61" s="1" t="s">
        <x:v>176</x:v>
      </x:c>
      <x:c r="AF61" s="1" t="s">
        <x:v>116</x:v>
      </x:c>
      <x:c r="AG61" s="1" t="s">
        <x:v>119</x:v>
      </x:c>
      <x:c r="AH61" s="1" t="s">
        <x:v>121</x:v>
      </x:c>
      <x:c r="AI61" s="1" t="s">
        <x:v>123</x:v>
      </x:c>
      <x:c r="AJ61" s="1" t="s">
        <x:v>127</x:v>
      </x:c>
      <x:c r="AK61" s="1" t="s">
        <x:v>130</x:v>
      </x:c>
      <x:c r="AL61" s="1" t="s">
        <x:v>161</x:v>
      </x:c>
      <x:c r="AM61" s="1" t="s">
        <x:v>116</x:v>
      </x:c>
      <x:c r="AN61" s="1" t="s">
        <x:v>113</x:v>
      </x:c>
      <x:c r="AO61" s="1" t="s">
        <x:v>174</x:v>
      </x:c>
      <x:c r="AP61" s="1" t="s">
        <x:v>117</x:v>
      </x:c>
      <x:c r="AQ61" s="1" t="s">
        <x:v>181</x:v>
      </x:c>
      <x:c r="AR61" s="1" t="s">
        <x:v>174</x:v>
      </x:c>
      <x:c r="AS61" s="1" t="s">
        <x:v>181</x:v>
      </x:c>
      <x:c r="AT61" s="1" t="s">
        <x:v>116</x:v>
      </x:c>
      <x:c r="AU61" s="1" t="s">
        <x:v>183</x:v>
      </x:c>
      <x:c r="AV61" s="1" t="s">
        <x:v>128</x:v>
      </x:c>
      <x:c r="AW61" s="1" t="s">
        <x:v>184</x:v>
      </x:c>
      <x:c r="AX61" s="1" t="s">
        <x:v>160</x:v>
      </x:c>
      <x:c r="AY61" s="1" t="s">
        <x:v>138</x:v>
      </x:c>
      <x:c r="AZ61" s="1" t="s">
        <x:v>139</x:v>
      </x:c>
      <x:c r="BA61" s="1" t="s">
        <x:v>214</x:v>
      </x:c>
      <x:c r="BB61" s="1" t="s">
        <x:v>173</x:v>
      </x:c>
      <x:c r="BC61" s="1" t="s">
        <x:v>161</x:v>
      </x:c>
      <x:c r="BD61" s="1" t="s">
        <x:v>178</x:v>
      </x:c>
      <x:c r="BE61" s="11" t="n">
        <x:f>ROUND((((B61*2+C61+D61+E61+F61*2+G61+H61+I61)/10)+((J61*2+K61+L61+M61+N61*2+O61+P61+Q61)/10)*2)/3,2)</x:f>
        <x:v>7.23</x:v>
      </x:c>
      <x:c r="BF61" s="11" t="n">
        <x:f>ROUND((((R61*2+S61+T61+U61+V61*2+W61+X61+Y61)/10)+((Z61*2+AA61+AB61+AC61+AD61*2+AE61+AF61+AG61)/10)*2)/3,2)</x:f>
        <x:v>7.26</x:v>
      </x:c>
      <x:c r="BG61" s="11" t="n">
        <x:f>ROUND((((AH61*2+AI61+AJ61+AK61+AL61*2+AM61+AN61+AO61)/10)+((AP61*2+AQ61+AR61+AS61+AT61*2+AU61+AV61+AW61)/10)*2)/3,2)</x:f>
        <x:v>7.42</x:v>
      </x:c>
      <x:c r="BH61" s="13" t="str">
        <x:f>IF(BE61&lt;5,"Y",IF(BE61&lt;6.5,"TB",IF(BE61&lt;8,"K",IF(BE61&lt;9,"G","XS"))))</x:f>
        <x:v>K</x:v>
      </x:c>
      <x:c r="BI61" s="13" t="str">
        <x:f>IF(BF61&lt;5,"Y",IF(BF61&lt;6.5,"TB",IF(BF61&lt;8,"K",IF(BF61&lt;9,"G","XS"))))</x:f>
        <x:v>K</x:v>
      </x:c>
      <x:c r="BJ61" s="13" t="str">
        <x:f>IF(BG61&lt;5,"Y",IF(BG61&lt;6.5,"TB",IF(BG61&lt;8,"K",IF(BG61&lt;9,"G","XS"))))</x:f>
        <x:v>K</x:v>
      </x:c>
      <x:c r="BK61" s="11" t="n">
        <x:f>ROUND((BE61/10)*4,2)</x:f>
        <x:v>2.89</x:v>
      </x:c>
      <x:c r="BL61" s="11" t="n">
        <x:f>ROUND((BF61/10)*4,2)</x:f>
        <x:v>2.9</x:v>
      </x:c>
      <x:c r="BM61" s="11" t="n">
        <x:f>ROUND((BG61/10)*4,2)</x:f>
        <x:v>2.97</x:v>
      </x:c>
      <x:c r="BN61" s="13" t="n">
        <x:f>IF(IF(OR(BD61="A",BD61="A1"),(BA61*2+BB61+BC61)/4,IF(BD61="B",(BA61+BB61*2+BC61)/4,(BA61+BB61+BC61)/3))&gt;=5,1,0)</x:f>
        <x:v>0</x:v>
      </x:c>
    </x:row>
    <x:row r="62">
      <x:c r="A62" s="1" t="s">
        <x:v>258</x:v>
      </x:c>
      <x:c r="B62" s="1" t="s">
        <x:v>212</x:v>
      </x:c>
      <x:c r="C62" s="1" t="s">
        <x:v>158</x:v>
      </x:c>
      <x:c r="D62" s="1" t="s">
        <x:v>134</x:v>
      </x:c>
      <x:c r="E62" s="1" t="s">
        <x:v>127</x:v>
      </x:c>
      <x:c r="F62" s="1" t="s">
        <x:v>126</x:v>
      </x:c>
      <x:c r="G62" s="1" t="s">
        <x:v>141</x:v>
      </x:c>
      <x:c r="H62" s="1" t="s">
        <x:v>121</x:v>
      </x:c>
      <x:c r="I62" s="1" t="s">
        <x:v>114</x:v>
      </x:c>
      <x:c r="J62" s="1" t="s">
        <x:v>162</x:v>
      </x:c>
      <x:c r="K62" s="1" t="s">
        <x:v>169</x:v>
      </x:c>
      <x:c r="L62" s="1" t="s">
        <x:v>199</x:v>
      </x:c>
      <x:c r="M62" s="1" t="s">
        <x:v>114</x:v>
      </x:c>
      <x:c r="N62" s="1" t="s">
        <x:v>118</x:v>
      </x:c>
      <x:c r="O62" s="1" t="s">
        <x:v>161</x:v>
      </x:c>
      <x:c r="P62" s="1" t="s">
        <x:v>131</x:v>
      </x:c>
      <x:c r="Q62" s="1" t="s">
        <x:v>165</x:v>
      </x:c>
      <x:c r="R62" s="1" t="s">
        <x:v>195</x:v>
      </x:c>
      <x:c r="S62" s="1" t="s">
        <x:v>199</x:v>
      </x:c>
      <x:c r="T62" s="1" t="s">
        <x:v>199</x:v>
      </x:c>
      <x:c r="U62" s="1" t="s">
        <x:v>123</x:v>
      </x:c>
      <x:c r="V62" s="1" t="s">
        <x:v>150</x:v>
      </x:c>
      <x:c r="W62" s="1" t="s">
        <x:v>115</x:v>
      </x:c>
      <x:c r="X62" s="1" t="s">
        <x:v>170</x:v>
      </x:c>
      <x:c r="Y62" s="1" t="s">
        <x:v>165</x:v>
      </x:c>
      <x:c r="Z62" s="1" t="s">
        <x:v>149</x:v>
      </x:c>
      <x:c r="AA62" s="1" t="s">
        <x:v>130</x:v>
      </x:c>
      <x:c r="AB62" s="1" t="s">
        <x:v>212</x:v>
      </x:c>
      <x:c r="AC62" s="1" t="s">
        <x:v>185</x:v>
      </x:c>
      <x:c r="AD62" s="1" t="s">
        <x:v>130</x:v>
      </x:c>
      <x:c r="AE62" s="1" t="s">
        <x:v>164</x:v>
      </x:c>
      <x:c r="AF62" s="1" t="s">
        <x:v>115</x:v>
      </x:c>
      <x:c r="AG62" s="1" t="s">
        <x:v>174</x:v>
      </x:c>
      <x:c r="AH62" s="1" t="s">
        <x:v>154</x:v>
      </x:c>
      <x:c r="AI62" s="1" t="s">
        <x:v>224</x:v>
      </x:c>
      <x:c r="AJ62" s="1" t="s">
        <x:v>155</x:v>
      </x:c>
      <x:c r="AK62" s="1" t="s">
        <x:v>133</x:v>
      </x:c>
      <x:c r="AL62" s="1" t="s">
        <x:v>131</x:v>
      </x:c>
      <x:c r="AM62" s="1" t="s">
        <x:v>132</x:v>
      </x:c>
      <x:c r="AN62" s="1" t="s">
        <x:v>170</x:v>
      </x:c>
      <x:c r="AO62" s="1" t="s">
        <x:v>125</x:v>
      </x:c>
      <x:c r="AP62" s="1" t="s">
        <x:v>155</x:v>
      </x:c>
      <x:c r="AQ62" s="1" t="s">
        <x:v>132</x:v>
      </x:c>
      <x:c r="AR62" s="1" t="s">
        <x:v>151</x:v>
      </x:c>
      <x:c r="AS62" s="1" t="s">
        <x:v>116</x:v>
      </x:c>
      <x:c r="AT62" s="1" t="s">
        <x:v>156</x:v>
      </x:c>
      <x:c r="AU62" s="1" t="s">
        <x:v>121</x:v>
      </x:c>
      <x:c r="AV62" s="1" t="s">
        <x:v>132</x:v>
      </x:c>
      <x:c r="AW62" s="1" t="s">
        <x:v>119</x:v>
      </x:c>
      <x:c r="AX62" s="1" t="s">
        <x:v>160</x:v>
      </x:c>
      <x:c r="AY62" s="1" t="s">
        <x:v>112</x:v>
      </x:c>
      <x:c r="AZ62" s="1" t="s">
        <x:v>112</x:v>
      </x:c>
      <x:c r="BA62" s="1" t="s">
        <x:v>157</x:v>
      </x:c>
      <x:c r="BB62" s="1" t="s">
        <x:v>146</x:v>
      </x:c>
      <x:c r="BC62" s="1" t="s">
        <x:v>146</x:v>
      </x:c>
      <x:c r="BD62" s="1" t="s">
        <x:v>63</x:v>
      </x:c>
      <x:c r="BE62" s="11" t="n">
        <x:f>ROUND((((B62*2+C62+D62+E62+F62*2+G62+H62+I62)/10)+((J62*2+K62+L62+M62+N62*2+O62+P62+Q62)/10)*2)/3,2)</x:f>
        <x:v>5.18</x:v>
      </x:c>
      <x:c r="BF62" s="11" t="n">
        <x:f>ROUND((((R62*2+S62+T62+U62+V62*2+W62+X62+Y62)/10)+((Z62*2+AA62+AB62+AC62+AD62*2+AE62+AF62+AG62)/10)*2)/3,2)</x:f>
        <x:v>5.44</x:v>
      </x:c>
      <x:c r="BG62" s="11" t="n">
        <x:f>ROUND((((AH62*2+AI62+AJ62+AK62+AL62*2+AM62+AN62+AO62)/10)+((AP62*2+AQ62+AR62+AS62+AT62*2+AU62+AV62+AW62)/10)*2)/3,2)</x:f>
        <x:v>5.56</x:v>
      </x:c>
      <x:c r="BH62" s="13" t="str">
        <x:f>IF(BE62&lt;5,"Y",IF(BE62&lt;6.5,"TB",IF(BE62&lt;8,"K",IF(BE62&lt;9,"G","XS"))))</x:f>
        <x:v>TB</x:v>
      </x:c>
      <x:c r="BI62" s="13" t="str">
        <x:f>IF(BF62&lt;5,"Y",IF(BF62&lt;6.5,"TB",IF(BF62&lt;8,"K",IF(BF62&lt;9,"G","XS"))))</x:f>
        <x:v>TB</x:v>
      </x:c>
      <x:c r="BJ62" s="13" t="str">
        <x:f>IF(BG62&lt;5,"Y",IF(BG62&lt;6.5,"TB",IF(BG62&lt;8,"K",IF(BG62&lt;9,"G","XS"))))</x:f>
        <x:v>TB</x:v>
      </x:c>
      <x:c r="BK62" s="11" t="n">
        <x:f>ROUND((BE62/10)*4,2)</x:f>
        <x:v>2.07</x:v>
      </x:c>
      <x:c r="BL62" s="11" t="n">
        <x:f>ROUND((BF62/10)*4,2)</x:f>
        <x:v>2.18</x:v>
      </x:c>
      <x:c r="BM62" s="11" t="n">
        <x:f>ROUND((BG62/10)*4,2)</x:f>
        <x:v>2.22</x:v>
      </x:c>
      <x:c r="BN62" s="13" t="n">
        <x:f>IF(IF(OR(BD62="A",BD62="A1"),(BA62*2+BB62+BC62)/4,IF(BD62="B",(BA62+BB62*2+BC62)/4,(BA62+BB62+BC62)/3))&gt;=5,1,0)</x:f>
        <x:v>0</x:v>
      </x:c>
    </x:row>
    <x:row r="63">
      <x:c r="A63" s="1" t="s">
        <x:v>259</x:v>
      </x:c>
      <x:c r="B63" s="1" t="s">
        <x:v>166</x:v>
      </x:c>
      <x:c r="C63" s="1" t="s">
        <x:v>181</x:v>
      </x:c>
      <x:c r="D63" s="1" t="s">
        <x:v>181</x:v>
      </x:c>
      <x:c r="E63" s="1" t="s">
        <x:v>177</x:v>
      </x:c>
      <x:c r="F63" s="1" t="s">
        <x:v>156</x:v>
      </x:c>
      <x:c r="G63" s="1" t="s">
        <x:v>125</x:v>
      </x:c>
      <x:c r="H63" s="1" t="s">
        <x:v>121</x:v>
      </x:c>
      <x:c r="I63" s="1" t="s">
        <x:v>144</x:v>
      </x:c>
      <x:c r="J63" s="1" t="s">
        <x:v>134</x:v>
      </x:c>
      <x:c r="K63" s="1" t="s">
        <x:v>123</x:v>
      </x:c>
      <x:c r="L63" s="1" t="s">
        <x:v>165</x:v>
      </x:c>
      <x:c r="M63" s="1" t="s">
        <x:v>185</x:v>
      </x:c>
      <x:c r="N63" s="1" t="s">
        <x:v>132</x:v>
      </x:c>
      <x:c r="O63" s="1" t="s">
        <x:v>181</x:v>
      </x:c>
      <x:c r="P63" s="1" t="s">
        <x:v>119</x:v>
      </x:c>
      <x:c r="Q63" s="1" t="s">
        <x:v>118</x:v>
      </x:c>
      <x:c r="R63" s="1" t="s">
        <x:v>159</x:v>
      </x:c>
      <x:c r="S63" s="1" t="s">
        <x:v>133</x:v>
      </x:c>
      <x:c r="T63" s="1" t="s">
        <x:v>132</x:v>
      </x:c>
      <x:c r="U63" s="1" t="s">
        <x:v>174</x:v>
      </x:c>
      <x:c r="V63" s="1" t="s">
        <x:v>150</x:v>
      </x:c>
      <x:c r="W63" s="1" t="s">
        <x:v>120</x:v>
      </x:c>
      <x:c r="X63" s="1" t="s">
        <x:v>132</x:v>
      </x:c>
      <x:c r="Y63" s="1" t="s">
        <x:v>147</x:v>
      </x:c>
      <x:c r="Z63" s="1" t="s">
        <x:v>123</x:v>
      </x:c>
      <x:c r="AA63" s="1" t="s">
        <x:v>155</x:v>
      </x:c>
      <x:c r="AB63" s="1" t="s">
        <x:v>136</x:v>
      </x:c>
      <x:c r="AC63" s="1" t="s">
        <x:v>175</x:v>
      </x:c>
      <x:c r="AD63" s="1" t="s">
        <x:v>118</x:v>
      </x:c>
      <x:c r="AE63" s="1" t="s">
        <x:v>175</x:v>
      </x:c>
      <x:c r="AF63" s="1" t="s">
        <x:v>182</x:v>
      </x:c>
      <x:c r="AG63" s="1" t="s">
        <x:v>118</x:v>
      </x:c>
      <x:c r="AH63" s="1" t="s">
        <x:v>113</x:v>
      </x:c>
      <x:c r="AI63" s="1" t="s">
        <x:v>130</x:v>
      </x:c>
      <x:c r="AJ63" s="1" t="s">
        <x:v>185</x:v>
      </x:c>
      <x:c r="AK63" s="1" t="s">
        <x:v>161</x:v>
      </x:c>
      <x:c r="AL63" s="1" t="s">
        <x:v>121</x:v>
      </x:c>
      <x:c r="AM63" s="1" t="s">
        <x:v>134</x:v>
      </x:c>
      <x:c r="AN63" s="1" t="s">
        <x:v>168</x:v>
      </x:c>
      <x:c r="AO63" s="1" t="s">
        <x:v>130</x:v>
      </x:c>
      <x:c r="AP63" s="1" t="s">
        <x:v>136</x:v>
      </x:c>
      <x:c r="AQ63" s="1" t="s">
        <x:v>116</x:v>
      </x:c>
      <x:c r="AR63" s="1" t="s">
        <x:v>185</x:v>
      </x:c>
      <x:c r="AS63" s="1" t="s">
        <x:v>130</x:v>
      </x:c>
      <x:c r="AT63" s="1" t="s">
        <x:v>133</x:v>
      </x:c>
      <x:c r="AU63" s="1" t="s">
        <x:v>177</x:v>
      </x:c>
      <x:c r="AV63" s="1" t="s">
        <x:v>123</x:v>
      </x:c>
      <x:c r="AW63" s="1" t="s">
        <x:v>135</x:v>
      </x:c>
      <x:c r="AX63" s="1" t="s">
        <x:v>160</x:v>
      </x:c>
      <x:c r="AY63" s="1" t="s">
        <x:v>138</x:v>
      </x:c>
      <x:c r="AZ63" s="1" t="s">
        <x:v>112</x:v>
      </x:c>
      <x:c r="BA63" s="1" t="s">
        <x:v>167</x:v>
      </x:c>
      <x:c r="BB63" s="1" t="s">
        <x:v>162</x:v>
      </x:c>
      <x:c r="BC63" s="1" t="s">
        <x:v>135</x:v>
      </x:c>
      <x:c r="BD63" s="1" t="s">
        <x:v>178</x:v>
      </x:c>
      <x:c r="BE63" s="11" t="n">
        <x:f>ROUND((((B63*2+C63+D63+E63+F63*2+G63+H63+I63)/10)+((J63*2+K63+L63+M63+N63*2+O63+P63+Q63)/10)*2)/3,2)</x:f>
        <x:v>6.57</x:v>
      </x:c>
      <x:c r="BF63" s="11" t="n">
        <x:f>ROUND((((R63*2+S63+T63+U63+V63*2+W63+X63+Y63)/10)+((Z63*2+AA63+AB63+AC63+AD63*2+AE63+AF63+AG63)/10)*2)/3,2)</x:f>
        <x:v>6.62</x:v>
      </x:c>
      <x:c r="BG63" s="11" t="n">
        <x:f>ROUND((((AH63*2+AI63+AJ63+AK63+AL63*2+AM63+AN63+AO63)/10)+((AP63*2+AQ63+AR63+AS63+AT63*2+AU63+AV63+AW63)/10)*2)/3,2)</x:f>
        <x:v>6.7</x:v>
      </x:c>
      <x:c r="BH63" s="13" t="str">
        <x:f>IF(BE63&lt;5,"Y",IF(BE63&lt;6.5,"TB",IF(BE63&lt;8,"K",IF(BE63&lt;9,"G","XS"))))</x:f>
        <x:v>K</x:v>
      </x:c>
      <x:c r="BI63" s="13" t="str">
        <x:f>IF(BF63&lt;5,"Y",IF(BF63&lt;6.5,"TB",IF(BF63&lt;8,"K",IF(BF63&lt;9,"G","XS"))))</x:f>
        <x:v>K</x:v>
      </x:c>
      <x:c r="BJ63" s="13" t="str">
        <x:f>IF(BG63&lt;5,"Y",IF(BG63&lt;6.5,"TB",IF(BG63&lt;8,"K",IF(BG63&lt;9,"G","XS"))))</x:f>
        <x:v>K</x:v>
      </x:c>
      <x:c r="BK63" s="11" t="n">
        <x:f>ROUND((BE63/10)*4,2)</x:f>
        <x:v>2.63</x:v>
      </x:c>
      <x:c r="BL63" s="11" t="n">
        <x:f>ROUND((BF63/10)*4,2)</x:f>
        <x:v>2.65</x:v>
      </x:c>
      <x:c r="BM63" s="11" t="n">
        <x:f>ROUND((BG63/10)*4,2)</x:f>
        <x:v>2.68</x:v>
      </x:c>
      <x:c r="BN63" s="13" t="n">
        <x:f>IF(IF(OR(BD63="A",BD63="A1"),(BA63*2+BB63+BC63)/4,IF(BD63="B",(BA63+BB63*2+BC63)/4,(BA63+BB63+BC63)/3))&gt;=5,1,0)</x:f>
        <x:v>0</x:v>
      </x:c>
    </x:row>
    <x:row r="64">
      <x:c r="A64" s="1" t="s">
        <x:v>260</x:v>
      </x:c>
      <x:c r="B64" s="1" t="s">
        <x:v>113</x:v>
      </x:c>
      <x:c r="C64" s="1" t="s">
        <x:v>118</x:v>
      </x:c>
      <x:c r="D64" s="1" t="s">
        <x:v>135</x:v>
      </x:c>
      <x:c r="E64" s="1" t="s">
        <x:v>127</x:v>
      </x:c>
      <x:c r="F64" s="1" t="s">
        <x:v>177</x:v>
      </x:c>
      <x:c r="G64" s="1" t="s">
        <x:v>113</x:v>
      </x:c>
      <x:c r="H64" s="1" t="s">
        <x:v>164</x:v>
      </x:c>
      <x:c r="I64" s="1" t="s">
        <x:v>170</x:v>
      </x:c>
      <x:c r="J64" s="1" t="s">
        <x:v>119</x:v>
      </x:c>
      <x:c r="K64" s="1" t="s">
        <x:v>161</x:v>
      </x:c>
      <x:c r="L64" s="1" t="s">
        <x:v>123</x:v>
      </x:c>
      <x:c r="M64" s="1" t="s">
        <x:v>123</x:v>
      </x:c>
      <x:c r="N64" s="1" t="s">
        <x:v>185</x:v>
      </x:c>
      <x:c r="O64" s="1" t="s">
        <x:v>113</x:v>
      </x:c>
      <x:c r="P64" s="1" t="s">
        <x:v>136</x:v>
      </x:c>
      <x:c r="Q64" s="1" t="s">
        <x:v>156</x:v>
      </x:c>
      <x:c r="R64" s="1" t="s">
        <x:v>114</x:v>
      </x:c>
      <x:c r="S64" s="1" t="s">
        <x:v>123</x:v>
      </x:c>
      <x:c r="T64" s="1" t="s">
        <x:v>126</x:v>
      </x:c>
      <x:c r="U64" s="1" t="s">
        <x:v>129</x:v>
      </x:c>
      <x:c r="V64" s="1" t="s">
        <x:v>174</x:v>
      </x:c>
      <x:c r="W64" s="1" t="s">
        <x:v>182</x:v>
      </x:c>
      <x:c r="X64" s="1" t="s">
        <x:v>165</x:v>
      </x:c>
      <x:c r="Y64" s="1" t="s">
        <x:v>150</x:v>
      </x:c>
      <x:c r="Z64" s="1" t="s">
        <x:v>135</x:v>
      </x:c>
      <x:c r="AA64" s="1" t="s">
        <x:v>132</x:v>
      </x:c>
      <x:c r="AB64" s="1" t="s">
        <x:v>166</x:v>
      </x:c>
      <x:c r="AC64" s="1" t="s">
        <x:v>129</x:v>
      </x:c>
      <x:c r="AD64" s="1" t="s">
        <x:v>165</x:v>
      </x:c>
      <x:c r="AE64" s="1" t="s">
        <x:v>124</x:v>
      </x:c>
      <x:c r="AF64" s="1" t="s">
        <x:v>176</x:v>
      </x:c>
      <x:c r="AG64" s="1" t="s">
        <x:v>155</x:v>
      </x:c>
      <x:c r="AH64" s="1" t="s">
        <x:v>117</x:v>
      </x:c>
      <x:c r="AI64" s="1" t="s">
        <x:v>165</x:v>
      </x:c>
      <x:c r="AJ64" s="1" t="s">
        <x:v>159</x:v>
      </x:c>
      <x:c r="AK64" s="1" t="s">
        <x:v>130</x:v>
      </x:c>
      <x:c r="AL64" s="1" t="s">
        <x:v>113</x:v>
      </x:c>
      <x:c r="AM64" s="1" t="s">
        <x:v>177</x:v>
      </x:c>
      <x:c r="AN64" s="1" t="s">
        <x:v>123</x:v>
      </x:c>
      <x:c r="AO64" s="1" t="s">
        <x:v>118</x:v>
      </x:c>
      <x:c r="AP64" s="1" t="s">
        <x:v>120</x:v>
      </x:c>
      <x:c r="AQ64" s="1" t="s">
        <x:v>175</x:v>
      </x:c>
      <x:c r="AR64" s="1" t="s">
        <x:v>164</x:v>
      </x:c>
      <x:c r="AS64" s="1" t="s">
        <x:v>135</x:v>
      </x:c>
      <x:c r="AT64" s="1" t="s">
        <x:v>114</x:v>
      </x:c>
      <x:c r="AU64" s="1" t="s">
        <x:v>124</x:v>
      </x:c>
      <x:c r="AV64" s="1" t="s">
        <x:v>181</x:v>
      </x:c>
      <x:c r="AW64" s="1" t="s">
        <x:v>130</x:v>
      </x:c>
      <x:c r="AX64" s="1" t="s">
        <x:v>137</x:v>
      </x:c>
      <x:c r="AY64" s="1" t="s">
        <x:v>138</x:v>
      </x:c>
      <x:c r="AZ64" s="1" t="s">
        <x:v>112</x:v>
      </x:c>
      <x:c r="BA64" s="1" t="s">
        <x:v>162</x:v>
      </x:c>
      <x:c r="BB64" s="1" t="s">
        <x:v>162</x:v>
      </x:c>
      <x:c r="BC64" s="1" t="s">
        <x:v>172</x:v>
      </x:c>
      <x:c r="BD64" s="1" t="s">
        <x:v>178</x:v>
      </x:c>
      <x:c r="BE64" s="11" t="n">
        <x:f>ROUND((((B64*2+C64+D64+E64+F64*2+G64+H64+I64)/10)+((J64*2+K64+L64+M64+N64*2+O64+P64+Q64)/10)*2)/3,2)</x:f>
        <x:v>7.09</x:v>
      </x:c>
      <x:c r="BF64" s="11" t="n">
        <x:f>ROUND((((R64*2+S64+T64+U64+V64*2+W64+X64+Y64)/10)+((Z64*2+AA64+AB64+AC64+AD64*2+AE64+AF64+AG64)/10)*2)/3,2)</x:f>
        <x:v>6.98</x:v>
      </x:c>
      <x:c r="BG64" s="11" t="n">
        <x:f>ROUND((((AH64*2+AI64+AJ64+AK64+AL64*2+AM64+AN64+AO64)/10)+((AP64*2+AQ64+AR64+AS64+AT64*2+AU64+AV64+AW64)/10)*2)/3,2)</x:f>
        <x:v>7.44</x:v>
      </x:c>
      <x:c r="BH64" s="13" t="str">
        <x:f>IF(BE64&lt;5,"Y",IF(BE64&lt;6.5,"TB",IF(BE64&lt;8,"K",IF(BE64&lt;9,"G","XS"))))</x:f>
        <x:v>K</x:v>
      </x:c>
      <x:c r="BI64" s="13" t="str">
        <x:f>IF(BF64&lt;5,"Y",IF(BF64&lt;6.5,"TB",IF(BF64&lt;8,"K",IF(BF64&lt;9,"G","XS"))))</x:f>
        <x:v>K</x:v>
      </x:c>
      <x:c r="BJ64" s="13" t="str">
        <x:f>IF(BG64&lt;5,"Y",IF(BG64&lt;6.5,"TB",IF(BG64&lt;8,"K",IF(BG64&lt;9,"G","XS"))))</x:f>
        <x:v>K</x:v>
      </x:c>
      <x:c r="BK64" s="11" t="n">
        <x:f>ROUND((BE64/10)*4,2)</x:f>
        <x:v>2.84</x:v>
      </x:c>
      <x:c r="BL64" s="11" t="n">
        <x:f>ROUND((BF64/10)*4,2)</x:f>
        <x:v>2.79</x:v>
      </x:c>
      <x:c r="BM64" s="11" t="n">
        <x:f>ROUND((BG64/10)*4,2)</x:f>
        <x:v>2.98</x:v>
      </x:c>
      <x:c r="BN64" s="13" t="n">
        <x:f>IF(IF(OR(BD64="A",BD64="A1"),(BA64*2+BB64+BC64)/4,IF(BD64="B",(BA64+BB64*2+BC64)/4,(BA64+BB64+BC64)/3))&gt;=5,1,0)</x:f>
        <x:v>0</x:v>
      </x:c>
    </x:row>
    <x:row r="65">
      <x:c r="A65" s="1" t="s">
        <x:v>261</x:v>
      </x:c>
      <x:c r="B65" s="1" t="s">
        <x:v>168</x:v>
      </x:c>
      <x:c r="C65" s="1" t="s">
        <x:v>113</x:v>
      </x:c>
      <x:c r="D65" s="1" t="s">
        <x:v>128</x:v>
      </x:c>
      <x:c r="E65" s="1" t="s">
        <x:v>184</x:v>
      </x:c>
      <x:c r="F65" s="1" t="s">
        <x:v>166</x:v>
      </x:c>
      <x:c r="G65" s="1" t="s">
        <x:v>186</x:v>
      </x:c>
      <x:c r="H65" s="1" t="s">
        <x:v>117</x:v>
      </x:c>
      <x:c r="I65" s="1" t="s">
        <x:v>131</x:v>
      </x:c>
      <x:c r="J65" s="1" t="s">
        <x:v>130</x:v>
      </x:c>
      <x:c r="K65" s="1" t="s">
        <x:v>136</x:v>
      </x:c>
      <x:c r="L65" s="1" t="s">
        <x:v>177</x:v>
      </x:c>
      <x:c r="M65" s="1" t="s">
        <x:v>177</x:v>
      </x:c>
      <x:c r="N65" s="1" t="s">
        <x:v>125</x:v>
      </x:c>
      <x:c r="O65" s="1" t="s">
        <x:v>159</x:v>
      </x:c>
      <x:c r="P65" s="1" t="s">
        <x:v>181</x:v>
      </x:c>
      <x:c r="Q65" s="1" t="s">
        <x:v>181</x:v>
      </x:c>
      <x:c r="R65" s="1" t="s">
        <x:v>135</x:v>
      </x:c>
      <x:c r="S65" s="1" t="s">
        <x:v>115</x:v>
      </x:c>
      <x:c r="T65" s="1" t="s">
        <x:v>168</x:v>
      </x:c>
      <x:c r="U65" s="1" t="s">
        <x:v>127</x:v>
      </x:c>
      <x:c r="V65" s="1" t="s">
        <x:v>116</x:v>
      </x:c>
      <x:c r="W65" s="1" t="s">
        <x:v>159</x:v>
      </x:c>
      <x:c r="X65" s="1" t="s">
        <x:v>128</x:v>
      </x:c>
      <x:c r="Y65" s="1" t="s">
        <x:v>116</x:v>
      </x:c>
      <x:c r="Z65" s="1" t="s">
        <x:v>136</x:v>
      </x:c>
      <x:c r="AA65" s="1" t="s">
        <x:v>135</x:v>
      </x:c>
      <x:c r="AB65" s="1" t="s">
        <x:v>116</x:v>
      </x:c>
      <x:c r="AC65" s="1" t="s">
        <x:v>125</x:v>
      </x:c>
      <x:c r="AD65" s="1" t="s">
        <x:v>129</x:v>
      </x:c>
      <x:c r="AE65" s="1" t="s">
        <x:v>125</x:v>
      </x:c>
      <x:c r="AF65" s="1" t="s">
        <x:v>181</x:v>
      </x:c>
      <x:c r="AG65" s="1" t="s">
        <x:v>174</x:v>
      </x:c>
      <x:c r="AH65" s="1" t="s">
        <x:v>164</x:v>
      </x:c>
      <x:c r="AI65" s="1" t="s">
        <x:v>174</x:v>
      </x:c>
      <x:c r="AJ65" s="1" t="s">
        <x:v>164</x:v>
      </x:c>
      <x:c r="AK65" s="1" t="s">
        <x:v>164</x:v>
      </x:c>
      <x:c r="AL65" s="1" t="s">
        <x:v>135</x:v>
      </x:c>
      <x:c r="AM65" s="1" t="s">
        <x:v>174</x:v>
      </x:c>
      <x:c r="AN65" s="1" t="s">
        <x:v>136</x:v>
      </x:c>
      <x:c r="AO65" s="1" t="s">
        <x:v>136</x:v>
      </x:c>
      <x:c r="AP65" s="1" t="s">
        <x:v>165</x:v>
      </x:c>
      <x:c r="AQ65" s="1" t="s">
        <x:v>114</x:v>
      </x:c>
      <x:c r="AR65" s="1" t="s">
        <x:v>116</x:v>
      </x:c>
      <x:c r="AS65" s="1" t="s">
        <x:v>116</x:v>
      </x:c>
      <x:c r="AT65" s="1" t="s">
        <x:v>113</x:v>
      </x:c>
      <x:c r="AU65" s="1" t="s">
        <x:v>186</x:v>
      </x:c>
      <x:c r="AV65" s="1" t="s">
        <x:v>123</x:v>
      </x:c>
      <x:c r="AW65" s="1" t="s">
        <x:v>168</x:v>
      </x:c>
      <x:c r="AX65" s="1" t="s">
        <x:v>160</x:v>
      </x:c>
      <x:c r="AY65" s="1" t="s">
        <x:v>138</x:v>
      </x:c>
      <x:c r="AZ65" s="1" t="s">
        <x:v>112</x:v>
      </x:c>
      <x:c r="BA65" s="1" t="s">
        <x:v>172</x:v>
      </x:c>
      <x:c r="BB65" s="1" t="s">
        <x:v>196</x:v>
      </x:c>
      <x:c r="BC65" s="1" t="s">
        <x:v>140</x:v>
      </x:c>
      <x:c r="BD65" s="1" t="s">
        <x:v>178</x:v>
      </x:c>
      <x:c r="BE65" s="11" t="n">
        <x:f>ROUND((((B65*2+C65+D65+E65+F65*2+G65+H65+I65)/10)+((J65*2+K65+L65+M65+N65*2+O65+P65+Q65)/10)*2)/3,2)</x:f>
        <x:v>7.21</x:v>
      </x:c>
      <x:c r="BF65" s="11" t="n">
        <x:f>ROUND((((R65*2+S65+T65+U65+V65*2+W65+X65+Y65)/10)+((Z65*2+AA65+AB65+AC65+AD65*2+AE65+AF65+AG65)/10)*2)/3,2)</x:f>
        <x:v>7.16</x:v>
      </x:c>
      <x:c r="BG65" s="11" t="n">
        <x:f>ROUND((((AH65*2+AI65+AJ65+AK65+AL65*2+AM65+AN65+AO65)/10)+((AP65*2+AQ65+AR65+AS65+AT65*2+AU65+AV65+AW65)/10)*2)/3,2)</x:f>
        <x:v>7.19</x:v>
      </x:c>
      <x:c r="BH65" s="13" t="str">
        <x:f>IF(BE65&lt;5,"Y",IF(BE65&lt;6.5,"TB",IF(BE65&lt;8,"K",IF(BE65&lt;9,"G","XS"))))</x:f>
        <x:v>K</x:v>
      </x:c>
      <x:c r="BI65" s="13" t="str">
        <x:f>IF(BF65&lt;5,"Y",IF(BF65&lt;6.5,"TB",IF(BF65&lt;8,"K",IF(BF65&lt;9,"G","XS"))))</x:f>
        <x:v>K</x:v>
      </x:c>
      <x:c r="BJ65" s="13" t="str">
        <x:f>IF(BG65&lt;5,"Y",IF(BG65&lt;6.5,"TB",IF(BG65&lt;8,"K",IF(BG65&lt;9,"G","XS"))))</x:f>
        <x:v>K</x:v>
      </x:c>
      <x:c r="BK65" s="11" t="n">
        <x:f>ROUND((BE65/10)*4,2)</x:f>
        <x:v>2.88</x:v>
      </x:c>
      <x:c r="BL65" s="11" t="n">
        <x:f>ROUND((BF65/10)*4,2)</x:f>
        <x:v>2.86</x:v>
      </x:c>
      <x:c r="BM65" s="11" t="n">
        <x:f>ROUND((BG65/10)*4,2)</x:f>
        <x:v>2.88</x:v>
      </x:c>
      <x:c r="BN65" s="13" t="n">
        <x:f>IF(IF(OR(BD65="A",BD65="A1"),(BA65*2+BB65+BC65)/4,IF(BD65="B",(BA65+BB65*2+BC65)/4,(BA65+BB65+BC65)/3))&gt;=5,1,0)</x:f>
        <x:v>0</x:v>
      </x:c>
    </x:row>
    <x:row r="66">
      <x:c r="A66" s="1" t="s">
        <x:v>262</x:v>
      </x:c>
      <x:c r="B66" s="1" t="s">
        <x:v>165</x:v>
      </x:c>
      <x:c r="C66" s="1" t="s">
        <x:v>136</x:v>
      </x:c>
      <x:c r="D66" s="1" t="s">
        <x:v>181</x:v>
      </x:c>
      <x:c r="E66" s="1" t="s">
        <x:v>117</x:v>
      </x:c>
      <x:c r="F66" s="1" t="s">
        <x:v>133</x:v>
      </x:c>
      <x:c r="G66" s="1" t="s">
        <x:v>128</x:v>
      </x:c>
      <x:c r="H66" s="1" t="s">
        <x:v>121</x:v>
      </x:c>
      <x:c r="I66" s="1" t="s">
        <x:v>166</x:v>
      </x:c>
      <x:c r="J66" s="1" t="s">
        <x:v>136</x:v>
      </x:c>
      <x:c r="K66" s="1" t="s">
        <x:v>164</x:v>
      </x:c>
      <x:c r="L66" s="1" t="s">
        <x:v>124</x:v>
      </x:c>
      <x:c r="M66" s="1" t="s">
        <x:v>117</x:v>
      </x:c>
      <x:c r="N66" s="1" t="s">
        <x:v>133</x:v>
      </x:c>
      <x:c r="O66" s="1" t="s">
        <x:v>186</x:v>
      </x:c>
      <x:c r="P66" s="1" t="s">
        <x:v>119</x:v>
      </x:c>
      <x:c r="Q66" s="1" t="s">
        <x:v>132</x:v>
      </x:c>
      <x:c r="R66" s="1" t="s">
        <x:v>164</x:v>
      </x:c>
      <x:c r="S66" s="1" t="s">
        <x:v>127</x:v>
      </x:c>
      <x:c r="T66" s="1" t="s">
        <x:v>113</x:v>
      </x:c>
      <x:c r="U66" s="1" t="s">
        <x:v>122</x:v>
      </x:c>
      <x:c r="V66" s="1" t="s">
        <x:v>133</x:v>
      </x:c>
      <x:c r="W66" s="1" t="s">
        <x:v>182</x:v>
      </x:c>
      <x:c r="X66" s="1" t="s">
        <x:v>136</x:v>
      </x:c>
      <x:c r="Y66" s="1" t="s">
        <x:v>144</x:v>
      </x:c>
      <x:c r="Z66" s="1" t="s">
        <x:v>164</x:v>
      </x:c>
      <x:c r="AA66" s="1" t="s">
        <x:v>181</x:v>
      </x:c>
      <x:c r="AB66" s="1" t="s">
        <x:v>174</x:v>
      </x:c>
      <x:c r="AC66" s="1" t="s">
        <x:v>181</x:v>
      </x:c>
      <x:c r="AD66" s="1" t="s">
        <x:v>130</x:v>
      </x:c>
      <x:c r="AE66" s="1" t="s">
        <x:v>120</x:v>
      </x:c>
      <x:c r="AF66" s="1" t="s">
        <x:v>165</x:v>
      </x:c>
      <x:c r="AG66" s="1" t="s">
        <x:v>144</x:v>
      </x:c>
      <x:c r="AH66" s="1" t="s">
        <x:v>177</x:v>
      </x:c>
      <x:c r="AI66" s="1" t="s">
        <x:v>168</x:v>
      </x:c>
      <x:c r="AJ66" s="1" t="s">
        <x:v>168</x:v>
      </x:c>
      <x:c r="AK66" s="1" t="s">
        <x:v>129</x:v>
      </x:c>
      <x:c r="AL66" s="1" t="s">
        <x:v>133</x:v>
      </x:c>
      <x:c r="AM66" s="1" t="s">
        <x:v>176</x:v>
      </x:c>
      <x:c r="AN66" s="1" t="s">
        <x:v>113</x:v>
      </x:c>
      <x:c r="AO66" s="1" t="s">
        <x:v>159</x:v>
      </x:c>
      <x:c r="AP66" s="1" t="s">
        <x:v>123</x:v>
      </x:c>
      <x:c r="AQ66" s="1" t="s">
        <x:v>128</x:v>
      </x:c>
      <x:c r="AR66" s="1" t="s">
        <x:v>159</x:v>
      </x:c>
      <x:c r="AS66" s="1" t="s">
        <x:v>168</x:v>
      </x:c>
      <x:c r="AT66" s="1" t="s">
        <x:v>161</x:v>
      </x:c>
      <x:c r="AU66" s="1" t="s">
        <x:v>113</x:v>
      </x:c>
      <x:c r="AV66" s="1" t="s">
        <x:v>114</x:v>
      </x:c>
      <x:c r="AW66" s="1" t="s">
        <x:v>123</x:v>
      </x:c>
      <x:c r="AX66" s="1" t="s">
        <x:v>160</x:v>
      </x:c>
      <x:c r="AY66" s="1" t="s">
        <x:v>138</x:v>
      </x:c>
      <x:c r="AZ66" s="1" t="s">
        <x:v>112</x:v>
      </x:c>
      <x:c r="BA66" s="1" t="s">
        <x:v>214</x:v>
      </x:c>
      <x:c r="BB66" s="1" t="s">
        <x:v>162</x:v>
      </x:c>
      <x:c r="BC66" s="1" t="s">
        <x:v>134</x:v>
      </x:c>
      <x:c r="BD66" s="1" t="s">
        <x:v>178</x:v>
      </x:c>
      <x:c r="BE66" s="11" t="n">
        <x:f>ROUND((((B66*2+C66+D66+E66+F66*2+G66+H66+I66)/10)+((J66*2+K66+L66+M66+N66*2+O66+P66+Q66)/10)*2)/3,2)</x:f>
        <x:v>7.21</x:v>
      </x:c>
      <x:c r="BF66" s="11" t="n">
        <x:f>ROUND((((R66*2+S66+T66+U66+V66*2+W66+X66+Y66)/10)+((Z66*2+AA66+AB66+AC66+AD66*2+AE66+AF66+AG66)/10)*2)/3,2)</x:f>
        <x:v>7.04</x:v>
      </x:c>
      <x:c r="BG66" s="11" t="n">
        <x:f>ROUND((((AH66*2+AI66+AJ66+AK66+AL66*2+AM66+AN66+AO66)/10)+((AP66*2+AQ66+AR66+AS66+AT66*2+AU66+AV66+AW66)/10)*2)/3,2)</x:f>
        <x:v>6.83</x:v>
      </x:c>
      <x:c r="BH66" s="13" t="str">
        <x:f>IF(BE66&lt;5,"Y",IF(BE66&lt;6.5,"TB",IF(BE66&lt;8,"K",IF(BE66&lt;9,"G","XS"))))</x:f>
        <x:v>K</x:v>
      </x:c>
      <x:c r="BI66" s="13" t="str">
        <x:f>IF(BF66&lt;5,"Y",IF(BF66&lt;6.5,"TB",IF(BF66&lt;8,"K",IF(BF66&lt;9,"G","XS"))))</x:f>
        <x:v>K</x:v>
      </x:c>
      <x:c r="BJ66" s="13" t="str">
        <x:f>IF(BG66&lt;5,"Y",IF(BG66&lt;6.5,"TB",IF(BG66&lt;8,"K",IF(BG66&lt;9,"G","XS"))))</x:f>
        <x:v>K</x:v>
      </x:c>
      <x:c r="BK66" s="11" t="n">
        <x:f>ROUND((BE66/10)*4,2)</x:f>
        <x:v>2.88</x:v>
      </x:c>
      <x:c r="BL66" s="11" t="n">
        <x:f>ROUND((BF66/10)*4,2)</x:f>
        <x:v>2.82</x:v>
      </x:c>
      <x:c r="BM66" s="11" t="n">
        <x:f>ROUND((BG66/10)*4,2)</x:f>
        <x:v>2.73</x:v>
      </x:c>
      <x:c r="BN66" s="13" t="n">
        <x:f>IF(IF(OR(BD66="A",BD66="A1"),(BA66*2+BB66+BC66)/4,IF(BD66="B",(BA66+BB66*2+BC66)/4,(BA66+BB66+BC66)/3))&gt;=5,1,0)</x:f>
        <x:v>0</x:v>
      </x:c>
    </x:row>
    <x:row r="67">
      <x:c r="A67" s="1" t="s">
        <x:v>263</x:v>
      </x:c>
      <x:c r="B67" s="1" t="s">
        <x:v>129</x:v>
      </x:c>
      <x:c r="C67" s="1" t="s">
        <x:v>166</x:v>
      </x:c>
      <x:c r="D67" s="1" t="s">
        <x:v>119</x:v>
      </x:c>
      <x:c r="E67" s="1" t="s">
        <x:v>114</x:v>
      </x:c>
      <x:c r="F67" s="1" t="s">
        <x:v>168</x:v>
      </x:c>
      <x:c r="G67" s="1" t="s">
        <x:v>159</x:v>
      </x:c>
      <x:c r="H67" s="1" t="s">
        <x:v>184</x:v>
      </x:c>
      <x:c r="I67" s="1" t="s">
        <x:v>155</x:v>
      </x:c>
      <x:c r="J67" s="1" t="s">
        <x:v>127</x:v>
      </x:c>
      <x:c r="K67" s="1" t="s">
        <x:v>135</x:v>
      </x:c>
      <x:c r="L67" s="1" t="s">
        <x:v>185</x:v>
      </x:c>
      <x:c r="M67" s="1" t="s">
        <x:v>114</x:v>
      </x:c>
      <x:c r="N67" s="1" t="s">
        <x:v>135</x:v>
      </x:c>
      <x:c r="O67" s="1" t="s">
        <x:v>128</x:v>
      </x:c>
      <x:c r="P67" s="1" t="s">
        <x:v>136</x:v>
      </x:c>
      <x:c r="Q67" s="1" t="s">
        <x:v>132</x:v>
      </x:c>
      <x:c r="R67" s="1" t="s">
        <x:v>128</x:v>
      </x:c>
      <x:c r="S67" s="1" t="s">
        <x:v>125</x:v>
      </x:c>
      <x:c r="T67" s="1" t="s">
        <x:v>175</x:v>
      </x:c>
      <x:c r="U67" s="1" t="s">
        <x:v>177</x:v>
      </x:c>
      <x:c r="V67" s="1" t="s">
        <x:v>159</x:v>
      </x:c>
      <x:c r="W67" s="1" t="s">
        <x:v>119</x:v>
      </x:c>
      <x:c r="X67" s="1" t="s">
        <x:v>186</x:v>
      </x:c>
      <x:c r="Y67" s="1" t="s">
        <x:v>118</x:v>
      </x:c>
      <x:c r="Z67" s="1" t="s">
        <x:v>113</x:v>
      </x:c>
      <x:c r="AA67" s="1" t="s">
        <x:v>177</x:v>
      </x:c>
      <x:c r="AB67" s="1" t="s">
        <x:v>116</x:v>
      </x:c>
      <x:c r="AC67" s="1" t="s">
        <x:v>136</x:v>
      </x:c>
      <x:c r="AD67" s="1" t="s">
        <x:v>129</x:v>
      </x:c>
      <x:c r="AE67" s="1" t="s">
        <x:v>176</x:v>
      </x:c>
      <x:c r="AF67" s="1" t="s">
        <x:v>136</x:v>
      </x:c>
      <x:c r="AG67" s="1" t="s">
        <x:v>132</x:v>
      </x:c>
      <x:c r="AH67" s="1" t="s">
        <x:v>127</x:v>
      </x:c>
      <x:c r="AI67" s="1" t="s">
        <x:v>177</x:v>
      </x:c>
      <x:c r="AJ67" s="1" t="s">
        <x:v>124</x:v>
      </x:c>
      <x:c r="AK67" s="1" t="s">
        <x:v>115</x:v>
      </x:c>
      <x:c r="AL67" s="1" t="s">
        <x:v>133</x:v>
      </x:c>
      <x:c r="AM67" s="1" t="s">
        <x:v>176</x:v>
      </x:c>
      <x:c r="AN67" s="1" t="s">
        <x:v>125</x:v>
      </x:c>
      <x:c r="AO67" s="1" t="s">
        <x:v>150</x:v>
      </x:c>
      <x:c r="AP67" s="1" t="s">
        <x:v>125</x:v>
      </x:c>
      <x:c r="AQ67" s="1" t="s">
        <x:v>159</x:v>
      </x:c>
      <x:c r="AR67" s="1" t="s">
        <x:v>125</x:v>
      </x:c>
      <x:c r="AS67" s="1" t="s">
        <x:v>144</x:v>
      </x:c>
      <x:c r="AT67" s="1" t="s">
        <x:v>159</x:v>
      </x:c>
      <x:c r="AU67" s="1" t="s">
        <x:v>183</x:v>
      </x:c>
      <x:c r="AV67" s="1" t="s">
        <x:v>129</x:v>
      </x:c>
      <x:c r="AW67" s="1" t="s">
        <x:v>144</x:v>
      </x:c>
      <x:c r="AX67" s="1" t="s">
        <x:v>160</x:v>
      </x:c>
      <x:c r="AY67" s="1" t="s">
        <x:v>161</x:v>
      </x:c>
      <x:c r="AZ67" s="1" t="s">
        <x:v>143</x:v>
      </x:c>
      <x:c r="BA67" s="1" t="s">
        <x:v>172</x:v>
      </x:c>
      <x:c r="BB67" s="1" t="s">
        <x:v>188</x:v>
      </x:c>
      <x:c r="BC67" s="1" t="s">
        <x:v>161</x:v>
      </x:c>
      <x:c r="BD67" s="1" t="s">
        <x:v>178</x:v>
      </x:c>
      <x:c r="BE67" s="11" t="n">
        <x:f>ROUND((((B67*2+C67+D67+E67+F67*2+G67+H67+I67)/10)+((J67*2+K67+L67+M67+N67*2+O67+P67+Q67)/10)*2)/3,2)</x:f>
        <x:v>7.01</x:v>
      </x:c>
      <x:c r="BF67" s="11" t="n">
        <x:f>ROUND((((R67*2+S67+T67+U67+V67*2+W67+X67+Y67)/10)+((Z67*2+AA67+AB67+AC67+AD67*2+AE67+AF67+AG67)/10)*2)/3,2)</x:f>
        <x:v>7.43</x:v>
      </x:c>
      <x:c r="BG67" s="11" t="n">
        <x:f>ROUND((((AH67*2+AI67+AJ67+AK67+AL67*2+AM67+AN67+AO67)/10)+((AP67*2+AQ67+AR67+AS67+AT67*2+AU67+AV67+AW67)/10)*2)/3,2)</x:f>
        <x:v>6.92</x:v>
      </x:c>
      <x:c r="BH67" s="13" t="str">
        <x:f>IF(BE67&lt;5,"Y",IF(BE67&lt;6.5,"TB",IF(BE67&lt;8,"K",IF(BE67&lt;9,"G","XS"))))</x:f>
        <x:v>K</x:v>
      </x:c>
      <x:c r="BI67" s="13" t="str">
        <x:f>IF(BF67&lt;5,"Y",IF(BF67&lt;6.5,"TB",IF(BF67&lt;8,"K",IF(BF67&lt;9,"G","XS"))))</x:f>
        <x:v>K</x:v>
      </x:c>
      <x:c r="BJ67" s="13" t="str">
        <x:f>IF(BG67&lt;5,"Y",IF(BG67&lt;6.5,"TB",IF(BG67&lt;8,"K",IF(BG67&lt;9,"G","XS"))))</x:f>
        <x:v>K</x:v>
      </x:c>
      <x:c r="BK67" s="11" t="n">
        <x:f>ROUND((BE67/10)*4,2)</x:f>
        <x:v>2.8</x:v>
      </x:c>
      <x:c r="BL67" s="11" t="n">
        <x:f>ROUND((BF67/10)*4,2)</x:f>
        <x:v>2.97</x:v>
      </x:c>
      <x:c r="BM67" s="11" t="n">
        <x:f>ROUND((BG67/10)*4,2)</x:f>
        <x:v>2.77</x:v>
      </x:c>
      <x:c r="BN67" s="13" t="n">
        <x:f>IF(IF(OR(BD67="A",BD67="A1"),(BA67*2+BB67+BC67)/4,IF(BD67="B",(BA67+BB67*2+BC67)/4,(BA67+BB67+BC67)/3))&gt;=5,1,0)</x:f>
        <x:v>0</x:v>
      </x:c>
    </x:row>
    <x:row r="68">
      <x:c r="A68" s="1" t="s">
        <x:v>264</x:v>
      </x:c>
      <x:c r="B68" s="1" t="s">
        <x:v>157</x:v>
      </x:c>
      <x:c r="C68" s="1" t="s">
        <x:v>146</x:v>
      </x:c>
      <x:c r="D68" s="1" t="s">
        <x:v>152</x:v>
      </x:c>
      <x:c r="E68" s="1" t="s">
        <x:v>123</x:v>
      </x:c>
      <x:c r="F68" s="1" t="s">
        <x:v>144</x:v>
      </x:c>
      <x:c r="G68" s="1" t="s">
        <x:v>144</x:v>
      </x:c>
      <x:c r="H68" s="1" t="s">
        <x:v>146</x:v>
      </x:c>
      <x:c r="I68" s="1" t="s">
        <x:v>147</x:v>
      </x:c>
      <x:c r="J68" s="1" t="s">
        <x:v>162</x:v>
      </x:c>
      <x:c r="K68" s="1" t="s">
        <x:v>152</x:v>
      </x:c>
      <x:c r="L68" s="1" t="s">
        <x:v>151</x:v>
      </x:c>
      <x:c r="M68" s="1" t="s">
        <x:v>147</x:v>
      </x:c>
      <x:c r="N68" s="1" t="s">
        <x:v>150</x:v>
      </x:c>
      <x:c r="O68" s="1" t="s">
        <x:v>119</x:v>
      </x:c>
      <x:c r="P68" s="1" t="s">
        <x:v>144</x:v>
      </x:c>
      <x:c r="Q68" s="1" t="s">
        <x:v>141</x:v>
      </x:c>
      <x:c r="R68" s="1" t="s">
        <x:v>152</x:v>
      </x:c>
      <x:c r="S68" s="1" t="s">
        <x:v>135</x:v>
      </x:c>
      <x:c r="T68" s="1" t="s">
        <x:v>146</x:v>
      </x:c>
      <x:c r="U68" s="1" t="s">
        <x:v>161</x:v>
      </x:c>
      <x:c r="V68" s="1" t="s">
        <x:v>152</x:v>
      </x:c>
      <x:c r="W68" s="1" t="s">
        <x:v>124</x:v>
      </x:c>
      <x:c r="X68" s="1" t="s">
        <x:v>164</x:v>
      </x:c>
      <x:c r="Y68" s="1" t="s">
        <x:v>213</x:v>
      </x:c>
      <x:c r="Z68" s="1" t="s">
        <x:v>118</x:v>
      </x:c>
      <x:c r="AA68" s="1" t="s">
        <x:v>147</x:v>
      </x:c>
      <x:c r="AB68" s="1" t="s">
        <x:v>150</x:v>
      </x:c>
      <x:c r="AC68" s="1" t="s">
        <x:v>115</x:v>
      </x:c>
      <x:c r="AD68" s="1" t="s">
        <x:v>121</x:v>
      </x:c>
      <x:c r="AE68" s="1" t="s">
        <x:v>128</x:v>
      </x:c>
      <x:c r="AF68" s="1" t="s">
        <x:v>123</x:v>
      </x:c>
      <x:c r="AG68" s="1" t="s">
        <x:v>131</x:v>
      </x:c>
      <x:c r="AH68" s="1" t="s">
        <x:v>134</x:v>
      </x:c>
      <x:c r="AI68" s="1" t="s">
        <x:v>170</x:v>
      </x:c>
      <x:c r="AJ68" s="1" t="s">
        <x:v>147</x:v>
      </x:c>
      <x:c r="AK68" s="1" t="s">
        <x:v>131</x:v>
      </x:c>
      <x:c r="AL68" s="1" t="s">
        <x:v>156</x:v>
      </x:c>
      <x:c r="AM68" s="1" t="s">
        <x:v>123</x:v>
      </x:c>
      <x:c r="AN68" s="1" t="s">
        <x:v>185</x:v>
      </x:c>
      <x:c r="AO68" s="1" t="s">
        <x:v>152</x:v>
      </x:c>
      <x:c r="AP68" s="1" t="s">
        <x:v>156</x:v>
      </x:c>
      <x:c r="AQ68" s="1" t="s">
        <x:v>115</x:v>
      </x:c>
      <x:c r="AR68" s="1" t="s">
        <x:v>155</x:v>
      </x:c>
      <x:c r="AS68" s="1" t="s">
        <x:v>161</x:v>
      </x:c>
      <x:c r="AT68" s="1" t="s">
        <x:v>121</x:v>
      </x:c>
      <x:c r="AU68" s="1" t="s">
        <x:v>175</x:v>
      </x:c>
      <x:c r="AV68" s="1" t="s">
        <x:v>164</x:v>
      </x:c>
      <x:c r="AW68" s="1" t="s">
        <x:v>150</x:v>
      </x:c>
      <x:c r="AX68" s="1" t="s">
        <x:v>160</x:v>
      </x:c>
      <x:c r="AY68" s="1" t="s">
        <x:v>138</x:v>
      </x:c>
      <x:c r="AZ68" s="1" t="s">
        <x:v>112</x:v>
      </x:c>
      <x:c r="BA68" s="1" t="s">
        <x:v>143</x:v>
      </x:c>
      <x:c r="BB68" s="1" t="s">
        <x:v>188</x:v>
      </x:c>
      <x:c r="BC68" s="1" t="s">
        <x:v>190</x:v>
      </x:c>
      <x:c r="BD68" s="1" t="s">
        <x:v>178</x:v>
      </x:c>
      <x:c r="BE68" s="11" t="n">
        <x:f>ROUND((((B68*2+C68+D68+E68+F68*2+G68+H68+I68)/10)+((J68*2+K68+L68+M68+N68*2+O68+P68+Q68)/10)*2)/3,2)</x:f>
        <x:v>4.74</x:v>
      </x:c>
      <x:c r="BF68" s="11" t="n">
        <x:f>ROUND((((R68*2+S68+T68+U68+V68*2+W68+X68+Y68)/10)+((Z68*2+AA68+AB68+AC68+AD68*2+AE68+AF68+AG68)/10)*2)/3,2)</x:f>
        <x:v>5.63</x:v>
      </x:c>
      <x:c r="BG68" s="11" t="n">
        <x:f>ROUND((((AH68*2+AI68+AJ68+AK68+AL68*2+AM68+AN68+AO68)/10)+((AP68*2+AQ68+AR68+AS68+AT68*2+AU68+AV68+AW68)/10)*2)/3,2)</x:f>
        <x:v>5.74</x:v>
      </x:c>
      <x:c r="BH68" s="13" t="str">
        <x:f>IF(BE68&lt;5,"Y",IF(BE68&lt;6.5,"TB",IF(BE68&lt;8,"K",IF(BE68&lt;9,"G","XS"))))</x:f>
        <x:v>Y</x:v>
      </x:c>
      <x:c r="BI68" s="13" t="str">
        <x:f>IF(BF68&lt;5,"Y",IF(BF68&lt;6.5,"TB",IF(BF68&lt;8,"K",IF(BF68&lt;9,"G","XS"))))</x:f>
        <x:v>TB</x:v>
      </x:c>
      <x:c r="BJ68" s="13" t="str">
        <x:f>IF(BG68&lt;5,"Y",IF(BG68&lt;6.5,"TB",IF(BG68&lt;8,"K",IF(BG68&lt;9,"G","XS"))))</x:f>
        <x:v>TB</x:v>
      </x:c>
      <x:c r="BK68" s="11" t="n">
        <x:f>ROUND((BE68/10)*4,2)</x:f>
        <x:v>1.9</x:v>
      </x:c>
      <x:c r="BL68" s="11" t="n">
        <x:f>ROUND((BF68/10)*4,2)</x:f>
        <x:v>2.25</x:v>
      </x:c>
      <x:c r="BM68" s="11" t="n">
        <x:f>ROUND((BG68/10)*4,2)</x:f>
        <x:v>2.3</x:v>
      </x:c>
      <x:c r="BN68" s="13" t="n">
        <x:f>IF(IF(OR(BD68="A",BD68="A1"),(BA68*2+BB68+BC68)/4,IF(BD68="B",(BA68+BB68*2+BC68)/4,(BA68+BB68+BC68)/3))&gt;=5,1,0)</x:f>
        <x:v>0</x:v>
      </x:c>
    </x:row>
    <x:row r="69">
      <x:c r="A69" s="1" t="s">
        <x:v>265</x:v>
      </x:c>
      <x:c r="B69" s="1" t="s">
        <x:v>156</x:v>
      </x:c>
      <x:c r="C69" s="1" t="s">
        <x:v>153</x:v>
      </x:c>
      <x:c r="D69" s="1" t="s">
        <x:v>150</x:v>
      </x:c>
      <x:c r="E69" s="1" t="s">
        <x:v>118</x:v>
      </x:c>
      <x:c r="F69" s="1" t="s">
        <x:v>156</x:v>
      </x:c>
      <x:c r="G69" s="1" t="s">
        <x:v>141</x:v>
      </x:c>
      <x:c r="H69" s="1" t="s">
        <x:v>121</x:v>
      </x:c>
      <x:c r="I69" s="1" t="s">
        <x:v>148</x:v>
      </x:c>
      <x:c r="J69" s="1" t="s">
        <x:v>147</x:v>
      </x:c>
      <x:c r="K69" s="1" t="s">
        <x:v>195</x:v>
      </x:c>
      <x:c r="L69" s="1" t="s">
        <x:v>156</x:v>
      </x:c>
      <x:c r="M69" s="1" t="s">
        <x:v>135</x:v>
      </x:c>
      <x:c r="N69" s="1" t="s">
        <x:v>131</x:v>
      </x:c>
      <x:c r="O69" s="1" t="s">
        <x:v>129</x:v>
      </x:c>
      <x:c r="P69" s="1" t="s">
        <x:v>168</x:v>
      </x:c>
      <x:c r="Q69" s="1" t="s">
        <x:v>169</x:v>
      </x:c>
      <x:c r="R69" s="1" t="s">
        <x:v>150</x:v>
      </x:c>
      <x:c r="S69" s="1" t="s">
        <x:v>126</x:v>
      </x:c>
      <x:c r="T69" s="1" t="s">
        <x:v>151</x:v>
      </x:c>
      <x:c r="U69" s="1" t="s">
        <x:v>134</x:v>
      </x:c>
      <x:c r="V69" s="1" t="s">
        <x:v>144</x:v>
      </x:c>
      <x:c r="W69" s="1" t="s">
        <x:v>134</x:v>
      </x:c>
      <x:c r="X69" s="1" t="s">
        <x:v>130</x:v>
      </x:c>
      <x:c r="Y69" s="1" t="s">
        <x:v>212</x:v>
      </x:c>
      <x:c r="Z69" s="1" t="s">
        <x:v>131</x:v>
      </x:c>
      <x:c r="AA69" s="1" t="s">
        <x:v>158</x:v>
      </x:c>
      <x:c r="AB69" s="1" t="s">
        <x:v>195</x:v>
      </x:c>
      <x:c r="AC69" s="1" t="s">
        <x:v>147</x:v>
      </x:c>
      <x:c r="AD69" s="1" t="s">
        <x:v>126</x:v>
      </x:c>
      <x:c r="AE69" s="1" t="s">
        <x:v>132</x:v>
      </x:c>
      <x:c r="AF69" s="1" t="s">
        <x:v>161</x:v>
      </x:c>
      <x:c r="AG69" s="1" t="s">
        <x:v>151</x:v>
      </x:c>
      <x:c r="AH69" s="1" t="s">
        <x:v>166</x:v>
      </x:c>
      <x:c r="AI69" s="1" t="s">
        <x:v>144</x:v>
      </x:c>
      <x:c r="AJ69" s="1" t="s">
        <x:v>134</x:v>
      </x:c>
      <x:c r="AK69" s="1" t="s">
        <x:v>155</x:v>
      </x:c>
      <x:c r="AL69" s="1" t="s">
        <x:v>150</x:v>
      </x:c>
      <x:c r="AM69" s="1" t="s">
        <x:v>158</x:v>
      </x:c>
      <x:c r="AN69" s="1" t="s">
        <x:v>115</x:v>
      </x:c>
      <x:c r="AO69" s="1" t="s">
        <x:v>141</x:v>
      </x:c>
      <x:c r="AP69" s="1" t="s">
        <x:v>130</x:v>
      </x:c>
      <x:c r="AQ69" s="1" t="s">
        <x:v>127</x:v>
      </x:c>
      <x:c r="AR69" s="1" t="s">
        <x:v>168</x:v>
      </x:c>
      <x:c r="AS69" s="1" t="s">
        <x:v>158</x:v>
      </x:c>
      <x:c r="AT69" s="1" t="s">
        <x:v>121</x:v>
      </x:c>
      <x:c r="AU69" s="1" t="s">
        <x:v>115</x:v>
      </x:c>
      <x:c r="AV69" s="1" t="s">
        <x:v>132</x:v>
      </x:c>
      <x:c r="AW69" s="1" t="s">
        <x:v>158</x:v>
      </x:c>
      <x:c r="AX69" s="1" t="s">
        <x:v>160</x:v>
      </x:c>
      <x:c r="AY69" s="1" t="s">
        <x:v>138</x:v>
      </x:c>
      <x:c r="AZ69" s="1" t="s">
        <x:v>139</x:v>
      </x:c>
      <x:c r="BA69" s="1" t="s">
        <x:v>146</x:v>
      </x:c>
      <x:c r="BB69" s="1" t="s">
        <x:v>141</x:v>
      </x:c>
      <x:c r="BC69" s="1" t="s">
        <x:v>140</x:v>
      </x:c>
      <x:c r="BD69" s="1" t="s">
        <x:v>178</x:v>
      </x:c>
      <x:c r="BE69" s="11" t="n">
        <x:f>ROUND((((B69*2+C69+D69+E69+F69*2+G69+H69+I69)/10)+((J69*2+K69+L69+M69+N69*2+O69+P69+Q69)/10)*2)/3,2)</x:f>
        <x:v>5.26</x:v>
      </x:c>
      <x:c r="BF69" s="11" t="n">
        <x:f>ROUND((((R69*2+S69+T69+U69+V69*2+W69+X69+Y69)/10)+((Z69*2+AA69+AB69+AC69+AD69*2+AE69+AF69+AG69)/10)*2)/3,2)</x:f>
        <x:v>5.11</x:v>
      </x:c>
      <x:c r="BG69" s="11" t="n">
        <x:f>ROUND((((AH69*2+AI69+AJ69+AK69+AL69*2+AM69+AN69+AO69)/10)+((AP69*2+AQ69+AR69+AS69+AT69*2+AU69+AV69+AW69)/10)*2)/3,2)</x:f>
        <x:v>5.64</x:v>
      </x:c>
      <x:c r="BH69" s="13" t="str">
        <x:f>IF(BE69&lt;5,"Y",IF(BE69&lt;6.5,"TB",IF(BE69&lt;8,"K",IF(BE69&lt;9,"G","XS"))))</x:f>
        <x:v>TB</x:v>
      </x:c>
      <x:c r="BI69" s="13" t="str">
        <x:f>IF(BF69&lt;5,"Y",IF(BF69&lt;6.5,"TB",IF(BF69&lt;8,"K",IF(BF69&lt;9,"G","XS"))))</x:f>
        <x:v>TB</x:v>
      </x:c>
      <x:c r="BJ69" s="13" t="str">
        <x:f>IF(BG69&lt;5,"Y",IF(BG69&lt;6.5,"TB",IF(BG69&lt;8,"K",IF(BG69&lt;9,"G","XS"))))</x:f>
        <x:v>TB</x:v>
      </x:c>
      <x:c r="BK69" s="11" t="n">
        <x:f>ROUND((BE69/10)*4,2)</x:f>
        <x:v>2.1</x:v>
      </x:c>
      <x:c r="BL69" s="11" t="n">
        <x:f>ROUND((BF69/10)*4,2)</x:f>
        <x:v>2.04</x:v>
      </x:c>
      <x:c r="BM69" s="11" t="n">
        <x:f>ROUND((BG69/10)*4,2)</x:f>
        <x:v>2.26</x:v>
      </x:c>
      <x:c r="BN69" s="13" t="n">
        <x:f>IF(IF(OR(BD69="A",BD69="A1"),(BA69*2+BB69+BC69)/4,IF(BD69="B",(BA69+BB69*2+BC69)/4,(BA69+BB69+BC69)/3))&gt;=5,1,0)</x:f>
        <x:v>0</x:v>
      </x:c>
    </x:row>
    <x:row r="70">
      <x:c r="A70" s="1" t="s">
        <x:v>266</x:v>
      </x:c>
      <x:c r="B70" s="1" t="s">
        <x:v>158</x:v>
      </x:c>
      <x:c r="C70" s="1" t="s">
        <x:v>155</x:v>
      </x:c>
      <x:c r="D70" s="1" t="s">
        <x:v>147</x:v>
      </x:c>
      <x:c r="E70" s="1" t="s">
        <x:v>133</x:v>
      </x:c>
      <x:c r="F70" s="1" t="s">
        <x:v>141</x:v>
      </x:c>
      <x:c r="G70" s="1" t="s">
        <x:v>134</x:v>
      </x:c>
      <x:c r="H70" s="1" t="s">
        <x:v>114</x:v>
      </x:c>
      <x:c r="I70" s="1" t="s">
        <x:v>148</x:v>
      </x:c>
      <x:c r="J70" s="1" t="s">
        <x:v>113</x:v>
      </x:c>
      <x:c r="K70" s="1" t="s">
        <x:v>135</x:v>
      </x:c>
      <x:c r="L70" s="1" t="s">
        <x:v>155</x:v>
      </x:c>
      <x:c r="M70" s="1" t="s">
        <x:v>115</x:v>
      </x:c>
      <x:c r="N70" s="1" t="s">
        <x:v>146</x:v>
      </x:c>
      <x:c r="O70" s="1" t="s">
        <x:v>135</x:v>
      </x:c>
      <x:c r="P70" s="1" t="s">
        <x:v>165</x:v>
      </x:c>
      <x:c r="Q70" s="1" t="s">
        <x:v>152</x:v>
      </x:c>
      <x:c r="R70" s="1" t="s">
        <x:v>136</x:v>
      </x:c>
      <x:c r="S70" s="1" t="s">
        <x:v>155</x:v>
      </x:c>
      <x:c r="T70" s="1" t="s">
        <x:v>156</x:v>
      </x:c>
      <x:c r="U70" s="1" t="s">
        <x:v>156</x:v>
      </x:c>
      <x:c r="V70" s="1" t="s">
        <x:v>158</x:v>
      </x:c>
      <x:c r="W70" s="1" t="s">
        <x:v>147</x:v>
      </x:c>
      <x:c r="X70" s="1" t="s">
        <x:v>159</x:v>
      </x:c>
      <x:c r="Y70" s="1" t="s">
        <x:v>169</x:v>
      </x:c>
      <x:c r="Z70" s="1" t="s">
        <x:v>166</x:v>
      </x:c>
      <x:c r="AA70" s="1" t="s">
        <x:v>121</x:v>
      </x:c>
      <x:c r="AB70" s="1" t="s">
        <x:v>159</x:v>
      </x:c>
      <x:c r="AC70" s="1" t="s">
        <x:v>127</x:v>
      </x:c>
      <x:c r="AD70" s="1" t="s">
        <x:v>133</x:v>
      </x:c>
      <x:c r="AE70" s="1" t="s">
        <x:v>121</x:v>
      </x:c>
      <x:c r="AF70" s="1" t="s">
        <x:v>129</x:v>
      </x:c>
      <x:c r="AG70" s="1" t="s">
        <x:v>195</x:v>
      </x:c>
      <x:c r="AH70" s="1" t="s">
        <x:v>177</x:v>
      </x:c>
      <x:c r="AI70" s="1" t="s">
        <x:v>151</x:v>
      </x:c>
      <x:c r="AJ70" s="1" t="s">
        <x:v>174</x:v>
      </x:c>
      <x:c r="AK70" s="1" t="s">
        <x:v>125</x:v>
      </x:c>
      <x:c r="AL70" s="1" t="s">
        <x:v>150</x:v>
      </x:c>
      <x:c r="AM70" s="1" t="s">
        <x:v>141</x:v>
      </x:c>
      <x:c r="AN70" s="1" t="s">
        <x:v>123</x:v>
      </x:c>
      <x:c r="AO70" s="1" t="s">
        <x:v>147</x:v>
      </x:c>
      <x:c r="AP70" s="1" t="s">
        <x:v>113</x:v>
      </x:c>
      <x:c r="AQ70" s="1" t="s">
        <x:v>134</x:v>
      </x:c>
      <x:c r="AR70" s="1" t="s">
        <x:v>177</x:v>
      </x:c>
      <x:c r="AS70" s="1" t="s">
        <x:v>115</x:v>
      </x:c>
      <x:c r="AT70" s="1" t="s">
        <x:v>118</x:v>
      </x:c>
      <x:c r="AU70" s="1" t="s">
        <x:v>133</x:v>
      </x:c>
      <x:c r="AV70" s="1" t="s">
        <x:v>121</x:v>
      </x:c>
      <x:c r="AW70" s="1" t="s">
        <x:v>158</x:v>
      </x:c>
      <x:c r="AX70" s="1" t="s">
        <x:v>160</x:v>
      </x:c>
      <x:c r="AY70" s="1" t="s">
        <x:v>138</x:v>
      </x:c>
      <x:c r="AZ70" s="1" t="s">
        <x:v>112</x:v>
      </x:c>
      <x:c r="BA70" s="1" t="s">
        <x:v>141</x:v>
      </x:c>
      <x:c r="BB70" s="1" t="s">
        <x:v>141</x:v>
      </x:c>
      <x:c r="BC70" s="1" t="s">
        <x:v>118</x:v>
      </x:c>
      <x:c r="BD70" s="1" t="s">
        <x:v>267</x:v>
      </x:c>
      <x:c r="BE70" s="11" t="n">
        <x:f>ROUND((((B70*2+C70+D70+E70+F70*2+G70+H70+I70)/10)+((J70*2+K70+L70+M70+N70*2+O70+P70+Q70)/10)*2)/3,2)</x:f>
        <x:v>5.5</x:v>
      </x:c>
      <x:c r="BF70" s="11" t="n">
        <x:f>ROUND((((R70*2+S70+T70+U70+V70*2+W70+X70+Y70)/10)+((Z70*2+AA70+AB70+AC70+AD70*2+AE70+AF70+AG70)/10)*2)/3,2)</x:f>
        <x:v>5.87</x:v>
      </x:c>
      <x:c r="BG70" s="11" t="n">
        <x:f>ROUND((((AH70*2+AI70+AJ70+AK70+AL70*2+AM70+AN70+AO70)/10)+((AP70*2+AQ70+AR70+AS70+AT70*2+AU70+AV70+AW70)/10)*2)/3,2)</x:f>
        <x:v>6.09</x:v>
      </x:c>
      <x:c r="BH70" s="13" t="str">
        <x:f>IF(BE70&lt;5,"Y",IF(BE70&lt;6.5,"TB",IF(BE70&lt;8,"K",IF(BE70&lt;9,"G","XS"))))</x:f>
        <x:v>TB</x:v>
      </x:c>
      <x:c r="BI70" s="13" t="str">
        <x:f>IF(BF70&lt;5,"Y",IF(BF70&lt;6.5,"TB",IF(BF70&lt;8,"K",IF(BF70&lt;9,"G","XS"))))</x:f>
        <x:v>TB</x:v>
      </x:c>
      <x:c r="BJ70" s="13" t="str">
        <x:f>IF(BG70&lt;5,"Y",IF(BG70&lt;6.5,"TB",IF(BG70&lt;8,"K",IF(BG70&lt;9,"G","XS"))))</x:f>
        <x:v>TB</x:v>
      </x:c>
      <x:c r="BK70" s="11" t="n">
        <x:f>ROUND((BE70/10)*4,2)</x:f>
        <x:v>2.2</x:v>
      </x:c>
      <x:c r="BL70" s="11" t="n">
        <x:f>ROUND((BF70/10)*4,2)</x:f>
        <x:v>2.35</x:v>
      </x:c>
      <x:c r="BM70" s="11" t="n">
        <x:f>ROUND((BG70/10)*4,2)</x:f>
        <x:v>2.44</x:v>
      </x:c>
      <x:c r="BN70" s="13" t="n">
        <x:f>IF(IF(OR(BD70="A",BD70="A1"),(BA70*2+BB70+BC70)/4,IF(BD70="B",(BA70+BB70*2+BC70)/4,(BA70+BB70+BC70)/3))&gt;=5,1,0)</x:f>
        <x:v>0</x:v>
      </x:c>
    </x:row>
    <x:row r="71">
      <x:c r="A71" s="1" t="s">
        <x:v>268</x:v>
      </x:c>
      <x:c r="B71" s="1" t="s">
        <x:v>114</x:v>
      </x:c>
      <x:c r="C71" s="1" t="s">
        <x:v>168</x:v>
      </x:c>
      <x:c r="D71" s="1" t="s">
        <x:v>127</x:v>
      </x:c>
      <x:c r="E71" s="1" t="s">
        <x:v>165</x:v>
      </x:c>
      <x:c r="F71" s="1" t="s">
        <x:v>166</x:v>
      </x:c>
      <x:c r="G71" s="1" t="s">
        <x:v>119</x:v>
      </x:c>
      <x:c r="H71" s="1" t="s">
        <x:v>136</x:v>
      </x:c>
      <x:c r="I71" s="1" t="s">
        <x:v>128</x:v>
      </x:c>
      <x:c r="J71" s="1" t="s">
        <x:v>128</x:v>
      </x:c>
      <x:c r="K71" s="1" t="s">
        <x:v>116</x:v>
      </x:c>
      <x:c r="L71" s="1" t="s">
        <x:v>129</x:v>
      </x:c>
      <x:c r="M71" s="1" t="s">
        <x:v>175</x:v>
      </x:c>
      <x:c r="N71" s="1" t="s">
        <x:v>164</x:v>
      </x:c>
      <x:c r="O71" s="1" t="s">
        <x:v>127</x:v>
      </x:c>
      <x:c r="P71" s="1" t="s">
        <x:v>182</x:v>
      </x:c>
      <x:c r="Q71" s="1" t="s">
        <x:v>124</x:v>
      </x:c>
      <x:c r="R71" s="1" t="s">
        <x:v>185</x:v>
      </x:c>
      <x:c r="S71" s="1" t="s">
        <x:v>164</x:v>
      </x:c>
      <x:c r="T71" s="1" t="s">
        <x:v>174</x:v>
      </x:c>
      <x:c r="U71" s="1" t="s">
        <x:v>176</x:v>
      </x:c>
      <x:c r="V71" s="1" t="s">
        <x:v>114</x:v>
      </x:c>
      <x:c r="W71" s="1" t="s">
        <x:v>175</x:v>
      </x:c>
      <x:c r="X71" s="1" t="s">
        <x:v>181</x:v>
      </x:c>
      <x:c r="Y71" s="1" t="s">
        <x:v>185</x:v>
      </x:c>
      <x:c r="Z71" s="1" t="s">
        <x:v>117</x:v>
      </x:c>
      <x:c r="AA71" s="1" t="s">
        <x:v>174</x:v>
      </x:c>
      <x:c r="AB71" s="1" t="s">
        <x:v>129</x:v>
      </x:c>
      <x:c r="AC71" s="1" t="s">
        <x:v>182</x:v>
      </x:c>
      <x:c r="AD71" s="1" t="s">
        <x:v>136</x:v>
      </x:c>
      <x:c r="AE71" s="1" t="s">
        <x:v>181</x:v>
      </x:c>
      <x:c r="AF71" s="1" t="s">
        <x:v>119</x:v>
      </x:c>
      <x:c r="AG71" s="1" t="s">
        <x:v>181</x:v>
      </x:c>
      <x:c r="AH71" s="1" t="s">
        <x:v>119</x:v>
      </x:c>
      <x:c r="AI71" s="1" t="s">
        <x:v>119</x:v>
      </x:c>
      <x:c r="AJ71" s="1" t="s">
        <x:v>114</x:v>
      </x:c>
      <x:c r="AK71" s="1" t="s">
        <x:v>165</x:v>
      </x:c>
      <x:c r="AL71" s="1" t="s">
        <x:v>113</x:v>
      </x:c>
      <x:c r="AM71" s="1" t="s">
        <x:v>174</x:v>
      </x:c>
      <x:c r="AN71" s="1" t="s">
        <x:v>136</x:v>
      </x:c>
      <x:c r="AO71" s="1" t="s">
        <x:v>176</x:v>
      </x:c>
      <x:c r="AP71" s="1" t="s">
        <x:v>128</x:v>
      </x:c>
      <x:c r="AQ71" s="1" t="s">
        <x:v>177</x:v>
      </x:c>
      <x:c r="AR71" s="1" t="s">
        <x:v>128</x:v>
      </x:c>
      <x:c r="AS71" s="1" t="s">
        <x:v>129</x:v>
      </x:c>
      <x:c r="AT71" s="1" t="s">
        <x:v>177</x:v>
      </x:c>
      <x:c r="AU71" s="1" t="s">
        <x:v>186</x:v>
      </x:c>
      <x:c r="AV71" s="1" t="s">
        <x:v>117</x:v>
      </x:c>
      <x:c r="AW71" s="1" t="s">
        <x:v>117</x:v>
      </x:c>
      <x:c r="AX71" s="1" t="s">
        <x:v>160</x:v>
      </x:c>
      <x:c r="AY71" s="1" t="s">
        <x:v>138</x:v>
      </x:c>
      <x:c r="AZ71" s="1" t="s">
        <x:v>112</x:v>
      </x:c>
      <x:c r="BA71" s="1" t="s">
        <x:v>188</x:v>
      </x:c>
      <x:c r="BB71" s="1" t="s">
        <x:v>161</x:v>
      </x:c>
      <x:c r="BC71" s="1" t="s">
        <x:v>141</x:v>
      </x:c>
      <x:c r="BD71" s="1" t="s">
        <x:v>267</x:v>
      </x:c>
      <x:c r="BE71" s="11" t="n">
        <x:f>ROUND((((B71*2+C71+D71+E71+F71*2+G71+H71+I71)/10)+((J71*2+K71+L71+M71+N71*2+O71+P71+Q71)/10)*2)/3,2)</x:f>
        <x:v>7.53</x:v>
      </x:c>
      <x:c r="BF71" s="11" t="n">
        <x:f>ROUND((((R71*2+S71+T71+U71+V71*2+W71+X71+Y71)/10)+((Z71*2+AA71+AB71+AC71+AD71*2+AE71+AF71+AG71)/10)*2)/3,2)</x:f>
        <x:v>7.88</x:v>
      </x:c>
      <x:c r="BG71" s="11" t="n">
        <x:f>ROUND((((AH71*2+AI71+AJ71+AK71+AL71*2+AM71+AN71+AO71)/10)+((AP71*2+AQ71+AR71+AS71+AT71*2+AU71+AV71+AW71)/10)*2)/3,2)</x:f>
        <x:v>7.94</x:v>
      </x:c>
      <x:c r="BH71" s="13" t="str">
        <x:f>IF(BE71&lt;5,"Y",IF(BE71&lt;6.5,"TB",IF(BE71&lt;8,"K",IF(BE71&lt;9,"G","XS"))))</x:f>
        <x:v>K</x:v>
      </x:c>
      <x:c r="BI71" s="13" t="str">
        <x:f>IF(BF71&lt;5,"Y",IF(BF71&lt;6.5,"TB",IF(BF71&lt;8,"K",IF(BF71&lt;9,"G","XS"))))</x:f>
        <x:v>K</x:v>
      </x:c>
      <x:c r="BJ71" s="13" t="str">
        <x:f>IF(BG71&lt;5,"Y",IF(BG71&lt;6.5,"TB",IF(BG71&lt;8,"K",IF(BG71&lt;9,"G","XS"))))</x:f>
        <x:v>K</x:v>
      </x:c>
      <x:c r="BK71" s="11" t="n">
        <x:f>ROUND((BE71/10)*4,2)</x:f>
        <x:v>3.01</x:v>
      </x:c>
      <x:c r="BL71" s="11" t="n">
        <x:f>ROUND((BF71/10)*4,2)</x:f>
        <x:v>3.15</x:v>
      </x:c>
      <x:c r="BM71" s="11" t="n">
        <x:f>ROUND((BG71/10)*4,2)</x:f>
        <x:v>3.18</x:v>
      </x:c>
      <x:c r="BN71" s="13" t="n">
        <x:f>IF(IF(OR(BD71="A",BD71="A1"),(BA71*2+BB71+BC71)/4,IF(BD71="B",(BA71+BB71*2+BC71)/4,(BA71+BB71+BC71)/3))&gt;=5,1,0)</x:f>
        <x:v>1</x:v>
      </x:c>
    </x:row>
    <x:row r="72">
      <x:c r="A72" s="1" t="s">
        <x:v>269</x:v>
      </x:c>
      <x:c r="B72" s="1" t="s">
        <x:v>161</x:v>
      </x:c>
      <x:c r="C72" s="1" t="s">
        <x:v>130</x:v>
      </x:c>
      <x:c r="D72" s="1" t="s">
        <x:v>161</x:v>
      </x:c>
      <x:c r="E72" s="1" t="s">
        <x:v>147</x:v>
      </x:c>
      <x:c r="F72" s="1" t="s">
        <x:v>170</x:v>
      </x:c>
      <x:c r="G72" s="1" t="s">
        <x:v>129</x:v>
      </x:c>
      <x:c r="H72" s="1" t="s">
        <x:v>121</x:v>
      </x:c>
      <x:c r="I72" s="1" t="s">
        <x:v>126</x:v>
      </x:c>
      <x:c r="J72" s="1" t="s">
        <x:v>166</x:v>
      </x:c>
      <x:c r="K72" s="1" t="s">
        <x:v>131</x:v>
      </x:c>
      <x:c r="L72" s="1" t="s">
        <x:v>174</x:v>
      </x:c>
      <x:c r="M72" s="1" t="s">
        <x:v>113</x:v>
      </x:c>
      <x:c r="N72" s="1" t="s">
        <x:v>118</x:v>
      </x:c>
      <x:c r="O72" s="1" t="s">
        <x:v>130</x:v>
      </x:c>
      <x:c r="P72" s="1" t="s">
        <x:v>123</x:v>
      </x:c>
      <x:c r="Q72" s="1" t="s">
        <x:v>114</x:v>
      </x:c>
      <x:c r="R72" s="1" t="s">
        <x:v>156</x:v>
      </x:c>
      <x:c r="S72" s="1" t="s">
        <x:v>154</x:v>
      </x:c>
      <x:c r="T72" s="1" t="s">
        <x:v>144</x:v>
      </x:c>
      <x:c r="U72" s="1" t="s">
        <x:v>127</x:v>
      </x:c>
      <x:c r="V72" s="1" t="s">
        <x:v>170</x:v>
      </x:c>
      <x:c r="W72" s="1" t="s">
        <x:v>146</x:v>
      </x:c>
      <x:c r="X72" s="1" t="s">
        <x:v>141</x:v>
      </x:c>
      <x:c r="Y72" s="1" t="s">
        <x:v>170</x:v>
      </x:c>
      <x:c r="Z72" s="1" t="s">
        <x:v>156</x:v>
      </x:c>
      <x:c r="AA72" s="1" t="s">
        <x:v>195</x:v>
      </x:c>
      <x:c r="AB72" s="1" t="s">
        <x:v>147</x:v>
      </x:c>
      <x:c r="AC72" s="1" t="s">
        <x:v>126</x:v>
      </x:c>
      <x:c r="AD72" s="1" t="s">
        <x:v>161</x:v>
      </x:c>
      <x:c r="AE72" s="1" t="s">
        <x:v>144</x:v>
      </x:c>
      <x:c r="AF72" s="1" t="s">
        <x:v>135</x:v>
      </x:c>
      <x:c r="AG72" s="1" t="s">
        <x:v>147</x:v>
      </x:c>
      <x:c r="AH72" s="1" t="s">
        <x:v>162</x:v>
      </x:c>
      <x:c r="AI72" s="1" t="s">
        <x:v>213</x:v>
      </x:c>
      <x:c r="AJ72" s="1" t="s">
        <x:v>170</x:v>
      </x:c>
      <x:c r="AK72" s="1" t="s">
        <x:v>151</x:v>
      </x:c>
      <x:c r="AL72" s="1" t="s">
        <x:v>170</x:v>
      </x:c>
      <x:c r="AM72" s="1" t="s">
        <x:v>130</x:v>
      </x:c>
      <x:c r="AN72" s="1" t="s">
        <x:v>158</x:v>
      </x:c>
      <x:c r="AO72" s="1" t="s">
        <x:v>146</x:v>
      </x:c>
      <x:c r="AP72" s="1" t="s">
        <x:v>131</x:v>
      </x:c>
      <x:c r="AQ72" s="1" t="s">
        <x:v>114</x:v>
      </x:c>
      <x:c r="AR72" s="1" t="s">
        <x:v>134</x:v>
      </x:c>
      <x:c r="AS72" s="1" t="s">
        <x:v>166</x:v>
      </x:c>
      <x:c r="AT72" s="1" t="s">
        <x:v>144</x:v>
      </x:c>
      <x:c r="AU72" s="1" t="s">
        <x:v>159</x:v>
      </x:c>
      <x:c r="AV72" s="1" t="s">
        <x:v>154</x:v>
      </x:c>
      <x:c r="AW72" s="1" t="s">
        <x:v>155</x:v>
      </x:c>
      <x:c r="AX72" s="1" t="s">
        <x:v>160</x:v>
      </x:c>
      <x:c r="AY72" s="1" t="s">
        <x:v>138</x:v>
      </x:c>
      <x:c r="AZ72" s="1" t="s">
        <x:v>112</x:v>
      </x:c>
      <x:c r="BA72" s="1" t="s">
        <x:v>214</x:v>
      </x:c>
      <x:c r="BB72" s="1" t="s">
        <x:v>188</x:v>
      </x:c>
      <x:c r="BC72" s="1" t="s">
        <x:v>270</x:v>
      </x:c>
      <x:c r="BD72" s="1" t="s">
        <x:v>267</x:v>
      </x:c>
      <x:c r="BE72" s="11" t="n">
        <x:f>ROUND((((B72*2+C72+D72+E72+F72*2+G72+H72+I72)/10)+((J72*2+K72+L72+M72+N72*2+O72+P72+Q72)/10)*2)/3,2)</x:f>
        <x:v>6.14</x:v>
      </x:c>
      <x:c r="BF72" s="11" t="n">
        <x:f>ROUND((((R72*2+S72+T72+U72+V72*2+W72+X72+Y72)/10)+((Z72*2+AA72+AB72+AC72+AD72*2+AE72+AF72+AG72)/10)*2)/3,2)</x:f>
        <x:v>5.27</x:v>
      </x:c>
      <x:c r="BG72" s="11" t="n">
        <x:f>ROUND((((AH72*2+AI72+AJ72+AK72+AL72*2+AM72+AN72+AO72)/10)+((AP72*2+AQ72+AR72+AS72+AT72*2+AU72+AV72+AW72)/10)*2)/3,2)</x:f>
        <x:v>5.22</x:v>
      </x:c>
      <x:c r="BH72" s="13" t="str">
        <x:f>IF(BE72&lt;5,"Y",IF(BE72&lt;6.5,"TB",IF(BE72&lt;8,"K",IF(BE72&lt;9,"G","XS"))))</x:f>
        <x:v>TB</x:v>
      </x:c>
      <x:c r="BI72" s="13" t="str">
        <x:f>IF(BF72&lt;5,"Y",IF(BF72&lt;6.5,"TB",IF(BF72&lt;8,"K",IF(BF72&lt;9,"G","XS"))))</x:f>
        <x:v>TB</x:v>
      </x:c>
      <x:c r="BJ72" s="13" t="str">
        <x:f>IF(BG72&lt;5,"Y",IF(BG72&lt;6.5,"TB",IF(BG72&lt;8,"K",IF(BG72&lt;9,"G","XS"))))</x:f>
        <x:v>TB</x:v>
      </x:c>
      <x:c r="BK72" s="11" t="n">
        <x:f>ROUND((BE72/10)*4,2)</x:f>
        <x:v>2.46</x:v>
      </x:c>
      <x:c r="BL72" s="11" t="n">
        <x:f>ROUND((BF72/10)*4,2)</x:f>
        <x:v>2.11</x:v>
      </x:c>
      <x:c r="BM72" s="11" t="n">
        <x:f>ROUND((BG72/10)*4,2)</x:f>
        <x:v>2.09</x:v>
      </x:c>
      <x:c r="BN72" s="13" t="n">
        <x:f>IF(IF(OR(BD72="A",BD72="A1"),(BA72*2+BB72+BC72)/4,IF(BD72="B",(BA72+BB72*2+BC72)/4,(BA72+BB72+BC72)/3))&gt;=5,1,0)</x:f>
        <x:v>0</x:v>
      </x:c>
    </x:row>
    <x:row r="73">
      <x:c r="A73" s="1" t="s">
        <x:v>271</x:v>
      </x:c>
      <x:c r="B73" s="1" t="s">
        <x:v>121</x:v>
      </x:c>
      <x:c r="C73" s="1" t="s">
        <x:v>115</x:v>
      </x:c>
      <x:c r="D73" s="1" t="s">
        <x:v>161</x:v>
      </x:c>
      <x:c r="E73" s="1" t="s">
        <x:v>135</x:v>
      </x:c>
      <x:c r="F73" s="1" t="s">
        <x:v>159</x:v>
      </x:c>
      <x:c r="G73" s="1" t="s">
        <x:v>136</x:v>
      </x:c>
      <x:c r="H73" s="1" t="s">
        <x:v>159</x:v>
      </x:c>
      <x:c r="I73" s="1" t="s">
        <x:v>130</x:v>
      </x:c>
      <x:c r="J73" s="1" t="s">
        <x:v>136</x:v>
      </x:c>
      <x:c r="K73" s="1" t="s">
        <x:v>165</x:v>
      </x:c>
      <x:c r="L73" s="1" t="s">
        <x:v>131</x:v>
      </x:c>
      <x:c r="M73" s="1" t="s">
        <x:v>128</x:v>
      </x:c>
      <x:c r="N73" s="1" t="s">
        <x:v>115</x:v>
      </x:c>
      <x:c r="O73" s="1" t="s">
        <x:v>115</x:v>
      </x:c>
      <x:c r="P73" s="1" t="s">
        <x:v>129</x:v>
      </x:c>
      <x:c r="Q73" s="1" t="s">
        <x:v>129</x:v>
      </x:c>
      <x:c r="R73" s="1" t="s">
        <x:v>123</x:v>
      </x:c>
      <x:c r="S73" s="1" t="s">
        <x:v>159</x:v>
      </x:c>
      <x:c r="T73" s="1" t="s">
        <x:v>146</x:v>
      </x:c>
      <x:c r="U73" s="1" t="s">
        <x:v>114</x:v>
      </x:c>
      <x:c r="V73" s="1" t="s">
        <x:v>132</x:v>
      </x:c>
      <x:c r="W73" s="1" t="s">
        <x:v>126</x:v>
      </x:c>
      <x:c r="X73" s="1" t="s">
        <x:v>181</x:v>
      </x:c>
      <x:c r="Y73" s="1" t="s">
        <x:v>161</x:v>
      </x:c>
      <x:c r="Z73" s="1" t="s">
        <x:v>147</x:v>
      </x:c>
      <x:c r="AA73" s="1" t="s">
        <x:v>181</x:v>
      </x:c>
      <x:c r="AB73" s="1" t="s">
        <x:v>123</x:v>
      </x:c>
      <x:c r="AC73" s="1" t="s">
        <x:v>129</x:v>
      </x:c>
      <x:c r="AD73" s="1" t="s">
        <x:v>164</x:v>
      </x:c>
      <x:c r="AE73" s="1" t="s">
        <x:v>164</x:v>
      </x:c>
      <x:c r="AF73" s="1" t="s">
        <x:v>164</x:v>
      </x:c>
      <x:c r="AG73" s="1" t="s">
        <x:v>115</x:v>
      </x:c>
      <x:c r="AH73" s="1" t="s">
        <x:v>135</x:v>
      </x:c>
      <x:c r="AI73" s="1" t="s">
        <x:v>116</x:v>
      </x:c>
      <x:c r="AJ73" s="1" t="s">
        <x:v>127</x:v>
      </x:c>
      <x:c r="AK73" s="1" t="s">
        <x:v>133</x:v>
      </x:c>
      <x:c r="AL73" s="1" t="s">
        <x:v>116</x:v>
      </x:c>
      <x:c r="AM73" s="1" t="s">
        <x:v>123</x:v>
      </x:c>
      <x:c r="AN73" s="1" t="s">
        <x:v>123</x:v>
      </x:c>
      <x:c r="AO73" s="1" t="s">
        <x:v>133</x:v>
      </x:c>
      <x:c r="AP73" s="1" t="s">
        <x:v>185</x:v>
      </x:c>
      <x:c r="AQ73" s="1" t="s">
        <x:v>125</x:v>
      </x:c>
      <x:c r="AR73" s="1" t="s">
        <x:v>161</x:v>
      </x:c>
      <x:c r="AS73" s="1" t="s">
        <x:v>136</x:v>
      </x:c>
      <x:c r="AT73" s="1" t="s">
        <x:v>114</x:v>
      </x:c>
      <x:c r="AU73" s="1" t="s">
        <x:v>114</x:v>
      </x:c>
      <x:c r="AV73" s="1" t="s">
        <x:v>181</x:v>
      </x:c>
      <x:c r="AW73" s="1" t="s">
        <x:v>164</x:v>
      </x:c>
      <x:c r="AX73" s="1" t="s">
        <x:v>137</x:v>
      </x:c>
      <x:c r="AY73" s="1" t="s">
        <x:v>138</x:v>
      </x:c>
      <x:c r="AZ73" s="1" t="s">
        <x:v>143</x:v>
      </x:c>
      <x:c r="BA73" s="1" t="s">
        <x:v>214</x:v>
      </x:c>
      <x:c r="BB73" s="1" t="s">
        <x:v>141</x:v>
      </x:c>
      <x:c r="BC73" s="1" t="s">
        <x:v>272</x:v>
      </x:c>
      <x:c r="BD73" s="1" t="s">
        <x:v>178</x:v>
      </x:c>
      <x:c r="BE73" s="11" t="n">
        <x:f>ROUND((((B73*2+C73+D73+E73+F73*2+G73+H73+I73)/10)+((J73*2+K73+L73+M73+N73*2+O73+P73+Q73)/10)*2)/3,2)</x:f>
        <x:v>6.77</x:v>
      </x:c>
      <x:c r="BF73" s="11" t="n">
        <x:f>ROUND((((R73*2+S73+T73+U73+V73*2+W73+X73+Y73)/10)+((Z73*2+AA73+AB73+AC73+AD73*2+AE73+AF73+AG73)/10)*2)/3,2)</x:f>
        <x:v>6.45</x:v>
      </x:c>
      <x:c r="BG73" s="11" t="n">
        <x:f>ROUND((((AH73*2+AI73+AJ73+AK73+AL73*2+AM73+AN73+AO73)/10)+((AP73*2+AQ73+AR73+AS73+AT73*2+AU73+AV73+AW73)/10)*2)/3,2)</x:f>
        <x:v>7.11</x:v>
      </x:c>
      <x:c r="BH73" s="13" t="str">
        <x:f>IF(BE73&lt;5,"Y",IF(BE73&lt;6.5,"TB",IF(BE73&lt;8,"K",IF(BE73&lt;9,"G","XS"))))</x:f>
        <x:v>K</x:v>
      </x:c>
      <x:c r="BI73" s="13" t="str">
        <x:f>IF(BF73&lt;5,"Y",IF(BF73&lt;6.5,"TB",IF(BF73&lt;8,"K",IF(BF73&lt;9,"G","XS"))))</x:f>
        <x:v>TB</x:v>
      </x:c>
      <x:c r="BJ73" s="13" t="str">
        <x:f>IF(BG73&lt;5,"Y",IF(BG73&lt;6.5,"TB",IF(BG73&lt;8,"K",IF(BG73&lt;9,"G","XS"))))</x:f>
        <x:v>K</x:v>
      </x:c>
      <x:c r="BK73" s="11" t="n">
        <x:f>ROUND((BE73/10)*4,2)</x:f>
        <x:v>2.71</x:v>
      </x:c>
      <x:c r="BL73" s="11" t="n">
        <x:f>ROUND((BF73/10)*4,2)</x:f>
        <x:v>2.58</x:v>
      </x:c>
      <x:c r="BM73" s="11" t="n">
        <x:f>ROUND((BG73/10)*4,2)</x:f>
        <x:v>2.84</x:v>
      </x:c>
      <x:c r="BN73" s="13" t="n">
        <x:f>IF(IF(OR(BD73="A",BD73="A1"),(BA73*2+BB73+BC73)/4,IF(BD73="B",(BA73+BB73*2+BC73)/4,(BA73+BB73+BC73)/3))&gt;=5,1,0)</x:f>
        <x:v>0</x:v>
      </x:c>
    </x:row>
    <x:row r="74">
      <x:c r="A74" s="1" t="s">
        <x:v>273</x:v>
      </x:c>
      <x:c r="B74" s="1" t="s">
        <x:v>157</x:v>
      </x:c>
      <x:c r="C74" s="1" t="s">
        <x:v>156</x:v>
      </x:c>
      <x:c r="D74" s="1" t="s">
        <x:v>157</x:v>
      </x:c>
      <x:c r="E74" s="1" t="s">
        <x:v>168</x:v>
      </x:c>
      <x:c r="F74" s="1" t="s">
        <x:v>151</x:v>
      </x:c>
      <x:c r="G74" s="1" t="s">
        <x:v>170</x:v>
      </x:c>
      <x:c r="H74" s="1" t="s">
        <x:v>143</x:v>
      </x:c>
      <x:c r="I74" s="1" t="s">
        <x:v>141</x:v>
      </x:c>
      <x:c r="J74" s="1" t="s">
        <x:v>170</x:v>
      </x:c>
      <x:c r="K74" s="1" t="s">
        <x:v>169</x:v>
      </x:c>
      <x:c r="L74" s="1" t="s">
        <x:v>162</x:v>
      </x:c>
      <x:c r="M74" s="1" t="s">
        <x:v>166</x:v>
      </x:c>
      <x:c r="N74" s="1" t="s">
        <x:v>159</x:v>
      </x:c>
      <x:c r="O74" s="1" t="s">
        <x:v>144</x:v>
      </x:c>
      <x:c r="P74" s="1" t="s">
        <x:v>159</x:v>
      </x:c>
      <x:c r="Q74" s="1" t="s">
        <x:v>169</x:v>
      </x:c>
      <x:c r="R74" s="1" t="s">
        <x:v>150</x:v>
      </x:c>
      <x:c r="S74" s="1" t="s">
        <x:v>150</x:v>
      </x:c>
      <x:c r="T74" s="1" t="s">
        <x:v>166</x:v>
      </x:c>
      <x:c r="U74" s="1" t="s">
        <x:v>132</x:v>
      </x:c>
      <x:c r="V74" s="1" t="s">
        <x:v>123</x:v>
      </x:c>
      <x:c r="W74" s="1" t="s">
        <x:v>123</x:v>
      </x:c>
      <x:c r="X74" s="1" t="s">
        <x:v>158</x:v>
      </x:c>
      <x:c r="Y74" s="1" t="s">
        <x:v>158</x:v>
      </x:c>
      <x:c r="Z74" s="1" t="s">
        <x:v>134</x:v>
      </x:c>
      <x:c r="AA74" s="1" t="s">
        <x:v>156</x:v>
      </x:c>
      <x:c r="AB74" s="1" t="s">
        <x:v>131</x:v>
      </x:c>
      <x:c r="AC74" s="1" t="s">
        <x:v>166</x:v>
      </x:c>
      <x:c r="AD74" s="1" t="s">
        <x:v>168</x:v>
      </x:c>
      <x:c r="AE74" s="1" t="s">
        <x:v>129</x:v>
      </x:c>
      <x:c r="AF74" s="1" t="s">
        <x:v>114</x:v>
      </x:c>
      <x:c r="AG74" s="1" t="s">
        <x:v>158</x:v>
      </x:c>
      <x:c r="AH74" s="1" t="s">
        <x:v>164</x:v>
      </x:c>
      <x:c r="AI74" s="1" t="s">
        <x:v>155</x:v>
      </x:c>
      <x:c r="AJ74" s="1" t="s">
        <x:v>132</x:v>
      </x:c>
      <x:c r="AK74" s="1" t="s">
        <x:v>150</x:v>
      </x:c>
      <x:c r="AL74" s="1" t="s">
        <x:v>118</x:v>
      </x:c>
      <x:c r="AM74" s="1" t="s">
        <x:v>130</x:v>
      </x:c>
      <x:c r="AN74" s="1" t="s">
        <x:v>135</x:v>
      </x:c>
      <x:c r="AO74" s="1" t="s">
        <x:v>158</x:v>
      </x:c>
      <x:c r="AP74" s="1" t="s">
        <x:v>122</x:v>
      </x:c>
      <x:c r="AQ74" s="1" t="s">
        <x:v>133</x:v>
      </x:c>
      <x:c r="AR74" s="1" t="s">
        <x:v>161</x:v>
      </x:c>
      <x:c r="AS74" s="1" t="s">
        <x:v>132</x:v>
      </x:c>
      <x:c r="AT74" s="1" t="s">
        <x:v>166</x:v>
      </x:c>
      <x:c r="AU74" s="1" t="s">
        <x:v>128</x:v>
      </x:c>
      <x:c r="AV74" s="1" t="s">
        <x:v>121</x:v>
      </x:c>
      <x:c r="AW74" s="1" t="s">
        <x:v>156</x:v>
      </x:c>
      <x:c r="AX74" s="1" t="s">
        <x:v>137</x:v>
      </x:c>
      <x:c r="AY74" s="1" t="s">
        <x:v>138</x:v>
      </x:c>
      <x:c r="AZ74" s="1" t="s">
        <x:v>112</x:v>
      </x:c>
      <x:c r="BA74" s="1" t="s">
        <x:v>162</x:v>
      </x:c>
      <x:c r="BB74" s="1" t="s">
        <x:v>190</x:v>
      </x:c>
      <x:c r="BC74" s="1" t="s">
        <x:v>162</x:v>
      </x:c>
      <x:c r="BD74" s="1" t="s">
        <x:v>267</x:v>
      </x:c>
      <x:c r="BE74" s="11" t="n">
        <x:f>ROUND((((B74*2+C74+D74+E74+F74*2+G74+H74+I74)/10)+((J74*2+K74+L74+M74+N74*2+O74+P74+Q74)/10)*2)/3,2)</x:f>
        <x:v>4.88</x:v>
      </x:c>
      <x:c r="BF74" s="11" t="n">
        <x:f>ROUND((((R74*2+S74+T74+U74+V74*2+W74+X74+Y74)/10)+((Z74*2+AA74+AB74+AC74+AD74*2+AE74+AF74+AG74)/10)*2)/3,2)</x:f>
        <x:v>5.76</x:v>
      </x:c>
      <x:c r="BG74" s="11" t="n">
        <x:f>ROUND((((AH74*2+AI74+AJ74+AK74+AL74*2+AM74+AN74+AO74)/10)+((AP74*2+AQ74+AR74+AS74+AT74*2+AU74+AV74+AW74)/10)*2)/3,2)</x:f>
        <x:v>6.39</x:v>
      </x:c>
      <x:c r="BH74" s="13" t="str">
        <x:f>IF(BE74&lt;5,"Y",IF(BE74&lt;6.5,"TB",IF(BE74&lt;8,"K",IF(BE74&lt;9,"G","XS"))))</x:f>
        <x:v>Y</x:v>
      </x:c>
      <x:c r="BI74" s="13" t="str">
        <x:f>IF(BF74&lt;5,"Y",IF(BF74&lt;6.5,"TB",IF(BF74&lt;8,"K",IF(BF74&lt;9,"G","XS"))))</x:f>
        <x:v>TB</x:v>
      </x:c>
      <x:c r="BJ74" s="13" t="str">
        <x:f>IF(BG74&lt;5,"Y",IF(BG74&lt;6.5,"TB",IF(BG74&lt;8,"K",IF(BG74&lt;9,"G","XS"))))</x:f>
        <x:v>TB</x:v>
      </x:c>
      <x:c r="BK74" s="11" t="n">
        <x:f>ROUND((BE74/10)*4,2)</x:f>
        <x:v>1.95</x:v>
      </x:c>
      <x:c r="BL74" s="11" t="n">
        <x:f>ROUND((BF74/10)*4,2)</x:f>
        <x:v>2.3</x:v>
      </x:c>
      <x:c r="BM74" s="11" t="n">
        <x:f>ROUND((BG74/10)*4,2)</x:f>
        <x:v>2.56</x:v>
      </x:c>
      <x:c r="BN74" s="13" t="n">
        <x:f>IF(IF(OR(BD74="A",BD74="A1"),(BA74*2+BB74+BC74)/4,IF(BD74="B",(BA74+BB74*2+BC74)/4,(BA74+BB74+BC74)/3))&gt;=5,1,0)</x:f>
        <x:v>0</x:v>
      </x:c>
    </x:row>
    <x:row r="75">
      <x:c r="A75" s="1" t="s">
        <x:v>274</x:v>
      </x:c>
      <x:c r="B75" s="1" t="s">
        <x:v>118</x:v>
      </x:c>
      <x:c r="C75" s="1" t="s">
        <x:v>123</x:v>
      </x:c>
      <x:c r="D75" s="1" t="s">
        <x:v>113</x:v>
      </x:c>
      <x:c r="E75" s="1" t="s">
        <x:v>136</x:v>
      </x:c>
      <x:c r="F75" s="1" t="s">
        <x:v>118</x:v>
      </x:c>
      <x:c r="G75" s="1" t="s">
        <x:v>159</x:v>
      </x:c>
      <x:c r="H75" s="1" t="s">
        <x:v>159</x:v>
      </x:c>
      <x:c r="I75" s="1" t="s">
        <x:v>126</x:v>
      </x:c>
      <x:c r="J75" s="1" t="s">
        <x:v>161</x:v>
      </x:c>
      <x:c r="K75" s="1" t="s">
        <x:v>164</x:v>
      </x:c>
      <x:c r="L75" s="1" t="s">
        <x:v>115</x:v>
      </x:c>
      <x:c r="M75" s="1" t="s">
        <x:v>113</x:v>
      </x:c>
      <x:c r="N75" s="1" t="s">
        <x:v>155</x:v>
      </x:c>
      <x:c r="O75" s="1" t="s">
        <x:v>170</x:v>
      </x:c>
      <x:c r="P75" s="1" t="s">
        <x:v>123</x:v>
      </x:c>
      <x:c r="Q75" s="1" t="s">
        <x:v>147</x:v>
      </x:c>
      <x:c r="R75" s="1" t="s">
        <x:v>158</x:v>
      </x:c>
      <x:c r="S75" s="1" t="s">
        <x:v>118</x:v>
      </x:c>
      <x:c r="T75" s="1" t="s">
        <x:v>118</x:v>
      </x:c>
      <x:c r="U75" s="1" t="s">
        <x:v>129</x:v>
      </x:c>
      <x:c r="V75" s="1" t="s">
        <x:v>126</x:v>
      </x:c>
      <x:c r="W75" s="1" t="s">
        <x:v>132</x:v>
      </x:c>
      <x:c r="X75" s="1" t="s">
        <x:v>129</x:v>
      </x:c>
      <x:c r="Y75" s="1" t="s">
        <x:v>144</x:v>
      </x:c>
      <x:c r="Z75" s="1" t="s">
        <x:v>126</x:v>
      </x:c>
      <x:c r="AA75" s="1" t="s">
        <x:v>150</x:v>
      </x:c>
      <x:c r="AB75" s="1" t="s">
        <x:v>121</x:v>
      </x:c>
      <x:c r="AC75" s="1" t="s">
        <x:v>115</x:v>
      </x:c>
      <x:c r="AD75" s="1" t="s">
        <x:v>133</x:v>
      </x:c>
      <x:c r="AE75" s="1" t="s">
        <x:v>131</x:v>
      </x:c>
      <x:c r="AF75" s="1" t="s">
        <x:v>126</x:v>
      </x:c>
      <x:c r="AG75" s="1" t="s">
        <x:v>147</x:v>
      </x:c>
      <x:c r="AH75" s="1" t="s">
        <x:v>126</x:v>
      </x:c>
      <x:c r="AI75" s="1" t="s">
        <x:v>118</x:v>
      </x:c>
      <x:c r="AJ75" s="1" t="s">
        <x:v>115</x:v>
      </x:c>
      <x:c r="AK75" s="1" t="s">
        <x:v>123</x:v>
      </x:c>
      <x:c r="AL75" s="1" t="s">
        <x:v>132</x:v>
      </x:c>
      <x:c r="AM75" s="1" t="s">
        <x:v>135</x:v>
      </x:c>
      <x:c r="AN75" s="1" t="s">
        <x:v>147</x:v>
      </x:c>
      <x:c r="AO75" s="1" t="s">
        <x:v>126</x:v>
      </x:c>
      <x:c r="AP75" s="1" t="s">
        <x:v>132</x:v>
      </x:c>
      <x:c r="AQ75" s="1" t="s">
        <x:v>166</x:v>
      </x:c>
      <x:c r="AR75" s="1" t="s">
        <x:v>114</x:v>
      </x:c>
      <x:c r="AS75" s="1" t="s">
        <x:v>181</x:v>
      </x:c>
      <x:c r="AT75" s="1" t="s">
        <x:v>118</x:v>
      </x:c>
      <x:c r="AU75" s="1" t="s">
        <x:v>130</x:v>
      </x:c>
      <x:c r="AV75" s="1" t="s">
        <x:v>115</x:v>
      </x:c>
      <x:c r="AW75" s="1" t="s">
        <x:v>118</x:v>
      </x:c>
      <x:c r="AX75" s="1" t="s">
        <x:v>160</x:v>
      </x:c>
      <x:c r="AY75" s="1" t="s">
        <x:v>138</x:v>
      </x:c>
      <x:c r="AZ75" s="1" t="s">
        <x:v>112</x:v>
      </x:c>
      <x:c r="BA75" s="1" t="s">
        <x:v>187</x:v>
      </x:c>
      <x:c r="BB75" s="1" t="s">
        <x:v>141</x:v>
      </x:c>
      <x:c r="BC75" s="1" t="s">
        <x:v>118</x:v>
      </x:c>
      <x:c r="BD75" s="1" t="s">
        <x:v>178</x:v>
      </x:c>
      <x:c r="BE75" s="11" t="n">
        <x:f>ROUND((((B75*2+C75+D75+E75+F75*2+G75+H75+I75)/10)+((J75*2+K75+L75+M75+N75*2+O75+P75+Q75)/10)*2)/3,2)</x:f>
        <x:v>5.99</x:v>
      </x:c>
      <x:c r="BF75" s="11" t="n">
        <x:f>ROUND((((R75*2+S75+T75+U75+V75*2+W75+X75+Y75)/10)+((Z75*2+AA75+AB75+AC75+AD75*2+AE75+AF75+AG75)/10)*2)/3,2)</x:f>
        <x:v>5.52</x:v>
      </x:c>
      <x:c r="BG75" s="11" t="n">
        <x:f>ROUND((((AH75*2+AI75+AJ75+AK75+AL75*2+AM75+AN75+AO75)/10)+((AP75*2+AQ75+AR75+AS75+AT75*2+AU75+AV75+AW75)/10)*2)/3,2)</x:f>
        <x:v>6.08</x:v>
      </x:c>
      <x:c r="BH75" s="13" t="str">
        <x:f>IF(BE75&lt;5,"Y",IF(BE75&lt;6.5,"TB",IF(BE75&lt;8,"K",IF(BE75&lt;9,"G","XS"))))</x:f>
        <x:v>TB</x:v>
      </x:c>
      <x:c r="BI75" s="13" t="str">
        <x:f>IF(BF75&lt;5,"Y",IF(BF75&lt;6.5,"TB",IF(BF75&lt;8,"K",IF(BF75&lt;9,"G","XS"))))</x:f>
        <x:v>TB</x:v>
      </x:c>
      <x:c r="BJ75" s="13" t="str">
        <x:f>IF(BG75&lt;5,"Y",IF(BG75&lt;6.5,"TB",IF(BG75&lt;8,"K",IF(BG75&lt;9,"G","XS"))))</x:f>
        <x:v>TB</x:v>
      </x:c>
      <x:c r="BK75" s="11" t="n">
        <x:f>ROUND((BE75/10)*4,2)</x:f>
        <x:v>2.4</x:v>
      </x:c>
      <x:c r="BL75" s="11" t="n">
        <x:f>ROUND((BF75/10)*4,2)</x:f>
        <x:v>2.21</x:v>
      </x:c>
      <x:c r="BM75" s="11" t="n">
        <x:f>ROUND((BG75/10)*4,2)</x:f>
        <x:v>2.43</x:v>
      </x:c>
      <x:c r="BN75" s="13" t="n">
        <x:f>IF(IF(OR(BD75="A",BD75="A1"),(BA75*2+BB75+BC75)/4,IF(BD75="B",(BA75+BB75*2+BC75)/4,(BA75+BB75+BC75)/3))&gt;=5,1,0)</x:f>
        <x:v>0</x:v>
      </x:c>
    </x:row>
    <x:row r="76">
      <x:c r="A76" s="1" t="s">
        <x:v>275</x:v>
      </x:c>
      <x:c r="B76" s="1" t="s">
        <x:v>126</x:v>
      </x:c>
      <x:c r="C76" s="1" t="s">
        <x:v>227</x:v>
      </x:c>
      <x:c r="D76" s="1" t="s">
        <x:v>150</x:v>
      </x:c>
      <x:c r="E76" s="1" t="s">
        <x:v>121</x:v>
      </x:c>
      <x:c r="F76" s="1" t="s">
        <x:v>132</x:v>
      </x:c>
      <x:c r="G76" s="1" t="s">
        <x:v>227</x:v>
      </x:c>
      <x:c r="H76" s="1" t="s">
        <x:v>170</x:v>
      </x:c>
      <x:c r="I76" s="1" t="s">
        <x:v>154</x:v>
      </x:c>
      <x:c r="J76" s="1" t="s">
        <x:v>118</x:v>
      </x:c>
      <x:c r="K76" s="1" t="s">
        <x:v>130</x:v>
      </x:c>
      <x:c r="L76" s="1" t="s">
        <x:v>133</x:v>
      </x:c>
      <x:c r="M76" s="1" t="s">
        <x:v>115</x:v>
      </x:c>
      <x:c r="N76" s="1" t="s">
        <x:v>118</x:v>
      </x:c>
      <x:c r="O76" s="1" t="s">
        <x:v>170</x:v>
      </x:c>
      <x:c r="P76" s="1" t="s">
        <x:v>132</x:v>
      </x:c>
      <x:c r="Q76" s="1" t="s">
        <x:v>156</x:v>
      </x:c>
      <x:c r="R76" s="1" t="s">
        <x:v>150</x:v>
      </x:c>
      <x:c r="S76" s="1" t="s">
        <x:v>115</x:v>
      </x:c>
      <x:c r="T76" s="1" t="s">
        <x:v>134</x:v>
      </x:c>
      <x:c r="U76" s="1" t="s">
        <x:v>132</x:v>
      </x:c>
      <x:c r="V76" s="1" t="s">
        <x:v>130</x:v>
      </x:c>
      <x:c r="W76" s="1" t="s">
        <x:v>121</x:v>
      </x:c>
      <x:c r="X76" s="1" t="s">
        <x:v>132</x:v>
      </x:c>
      <x:c r="Y76" s="1" t="s">
        <x:v>121</x:v>
      </x:c>
      <x:c r="Z76" s="1" t="s">
        <x:v>151</x:v>
      </x:c>
      <x:c r="AA76" s="1" t="s">
        <x:v>130</x:v>
      </x:c>
      <x:c r="AB76" s="1" t="s">
        <x:v>118</x:v>
      </x:c>
      <x:c r="AC76" s="1" t="s">
        <x:v>116</x:v>
      </x:c>
      <x:c r="AD76" s="1" t="s">
        <x:v>159</x:v>
      </x:c>
      <x:c r="AE76" s="1" t="s">
        <x:v>150</x:v>
      </x:c>
      <x:c r="AF76" s="1" t="s">
        <x:v>132</x:v>
      </x:c>
      <x:c r="AG76" s="1" t="s">
        <x:v>166</x:v>
      </x:c>
      <x:c r="AH76" s="1" t="s">
        <x:v>150</x:v>
      </x:c>
      <x:c r="AI76" s="1" t="s">
        <x:v>161</x:v>
      </x:c>
      <x:c r="AJ76" s="1" t="s">
        <x:v>118</x:v>
      </x:c>
      <x:c r="AK76" s="1" t="s">
        <x:v>150</x:v>
      </x:c>
      <x:c r="AL76" s="1" t="s">
        <x:v>121</x:v>
      </x:c>
      <x:c r="AM76" s="1" t="s">
        <x:v>219</x:v>
      </x:c>
      <x:c r="AN76" s="1" t="s">
        <x:v>144</x:v>
      </x:c>
      <x:c r="AO76" s="1" t="s">
        <x:v>156</x:v>
      </x:c>
      <x:c r="AP76" s="1" t="s">
        <x:v>133</x:v>
      </x:c>
      <x:c r="AQ76" s="1" t="s">
        <x:v>144</x:v>
      </x:c>
      <x:c r="AR76" s="1" t="s">
        <x:v>133</x:v>
      </x:c>
      <x:c r="AS76" s="1" t="s">
        <x:v>150</x:v>
      </x:c>
      <x:c r="AT76" s="1" t="s">
        <x:v>133</x:v>
      </x:c>
      <x:c r="AU76" s="1" t="s">
        <x:v>147</x:v>
      </x:c>
      <x:c r="AV76" s="1" t="s">
        <x:v>147</x:v>
      </x:c>
      <x:c r="AW76" s="1" t="s">
        <x:v>170</x:v>
      </x:c>
      <x:c r="AX76" s="1" t="s">
        <x:v>137</x:v>
      </x:c>
      <x:c r="AY76" s="1" t="s">
        <x:v>138</x:v>
      </x:c>
      <x:c r="AZ76" s="1" t="s">
        <x:v>112</x:v>
      </x:c>
      <x:c r="BA76" s="1" t="s">
        <x:v>143</x:v>
      </x:c>
      <x:c r="BB76" s="1" t="s">
        <x:v>141</x:v>
      </x:c>
      <x:c r="BC76" s="1" t="s">
        <x:v>188</x:v>
      </x:c>
      <x:c r="BD76" s="1" t="s">
        <x:v>178</x:v>
      </x:c>
      <x:c r="BE76" s="11" t="n">
        <x:f>ROUND((((B76*2+C76+D76+E76+F76*2+G76+H76+I76)/10)+((J76*2+K76+L76+M76+N76*2+O76+P76+Q76)/10)*2)/3,2)</x:f>
        <x:v>5.34</x:v>
      </x:c>
      <x:c r="BF76" s="11" t="n">
        <x:f>ROUND((((R76*2+S76+T76+U76+V76*2+W76+X76+Y76)/10)+((Z76*2+AA76+AB76+AC76+AD76*2+AE76+AF76+AG76)/10)*2)/3,2)</x:f>
        <x:v>5.7</x:v>
      </x:c>
      <x:c r="BG76" s="11" t="n">
        <x:f>ROUND((((AH76*2+AI76+AJ76+AK76+AL76*2+AM76+AN76+AO76)/10)+((AP76*2+AQ76+AR76+AS76+AT76*2+AU76+AV76+AW76)/10)*2)/3,2)</x:f>
        <x:v>5.29</x:v>
      </x:c>
      <x:c r="BH76" s="13" t="str">
        <x:f>IF(BE76&lt;5,"Y",IF(BE76&lt;6.5,"TB",IF(BE76&lt;8,"K",IF(BE76&lt;9,"G","XS"))))</x:f>
        <x:v>TB</x:v>
      </x:c>
      <x:c r="BI76" s="13" t="str">
        <x:f>IF(BF76&lt;5,"Y",IF(BF76&lt;6.5,"TB",IF(BF76&lt;8,"K",IF(BF76&lt;9,"G","XS"))))</x:f>
        <x:v>TB</x:v>
      </x:c>
      <x:c r="BJ76" s="13" t="str">
        <x:f>IF(BG76&lt;5,"Y",IF(BG76&lt;6.5,"TB",IF(BG76&lt;8,"K",IF(BG76&lt;9,"G","XS"))))</x:f>
        <x:v>TB</x:v>
      </x:c>
      <x:c r="BK76" s="11" t="n">
        <x:f>ROUND((BE76/10)*4,2)</x:f>
        <x:v>2.14</x:v>
      </x:c>
      <x:c r="BL76" s="11" t="n">
        <x:f>ROUND((BF76/10)*4,2)</x:f>
        <x:v>2.28</x:v>
      </x:c>
      <x:c r="BM76" s="11" t="n">
        <x:f>ROUND((BG76/10)*4,2)</x:f>
        <x:v>2.12</x:v>
      </x:c>
      <x:c r="BN76" s="13" t="n">
        <x:f>IF(IF(OR(BD76="A",BD76="A1"),(BA76*2+BB76+BC76)/4,IF(BD76="B",(BA76+BB76*2+BC76)/4,(BA76+BB76+BC76)/3))&gt;=5,1,0)</x:f>
        <x:v>0</x:v>
      </x:c>
    </x:row>
    <x:row r="77">
      <x:c r="A77" s="1" t="s">
        <x:v>276</x:v>
      </x:c>
      <x:c r="B77" s="1" t="s">
        <x:v>195</x:v>
      </x:c>
      <x:c r="C77" s="1" t="s">
        <x:v>131</x:v>
      </x:c>
      <x:c r="D77" s="1" t="s">
        <x:v>134</x:v>
      </x:c>
      <x:c r="E77" s="1" t="s">
        <x:v>119</x:v>
      </x:c>
      <x:c r="F77" s="1" t="s">
        <x:v>115</x:v>
      </x:c>
      <x:c r="G77" s="1" t="s">
        <x:v>185</x:v>
      </x:c>
      <x:c r="H77" s="1" t="s">
        <x:v>127</x:v>
      </x:c>
      <x:c r="I77" s="1" t="s">
        <x:v>145</x:v>
      </x:c>
      <x:c r="J77" s="1" t="s">
        <x:v>118</x:v>
      </x:c>
      <x:c r="K77" s="1" t="s">
        <x:v>164</x:v>
      </x:c>
      <x:c r="L77" s="1" t="s">
        <x:v>174</x:v>
      </x:c>
      <x:c r="M77" s="1" t="s">
        <x:v>127</x:v>
      </x:c>
      <x:c r="N77" s="1" t="s">
        <x:v>164</x:v>
      </x:c>
      <x:c r="O77" s="1" t="s">
        <x:v>177</x:v>
      </x:c>
      <x:c r="P77" s="1" t="s">
        <x:v>168</x:v>
      </x:c>
      <x:c r="Q77" s="1" t="s">
        <x:v>156</x:v>
      </x:c>
      <x:c r="R77" s="1" t="s">
        <x:v>156</x:v>
      </x:c>
      <x:c r="S77" s="1" t="s">
        <x:v>115</x:v>
      </x:c>
      <x:c r="T77" s="1" t="s">
        <x:v>132</x:v>
      </x:c>
      <x:c r="U77" s="1" t="s">
        <x:v>181</x:v>
      </x:c>
      <x:c r="V77" s="1" t="s">
        <x:v>132</x:v>
      </x:c>
      <x:c r="W77" s="1" t="s">
        <x:v>168</x:v>
      </x:c>
      <x:c r="X77" s="1" t="s">
        <x:v>127</x:v>
      </x:c>
      <x:c r="Y77" s="1" t="s">
        <x:v>154</x:v>
      </x:c>
      <x:c r="Z77" s="1" t="s">
        <x:v>168</x:v>
      </x:c>
      <x:c r="AA77" s="1" t="s">
        <x:v>128</x:v>
      </x:c>
      <x:c r="AB77" s="1" t="s">
        <x:v>181</x:v>
      </x:c>
      <x:c r="AC77" s="1" t="s">
        <x:v>177</x:v>
      </x:c>
      <x:c r="AD77" s="1" t="s">
        <x:v>166</x:v>
      </x:c>
      <x:c r="AE77" s="1" t="s">
        <x:v>128</x:v>
      </x:c>
      <x:c r="AF77" s="1" t="s">
        <x:v>175</x:v>
      </x:c>
      <x:c r="AG77" s="1" t="s">
        <x:v>118</x:v>
      </x:c>
      <x:c r="AH77" s="1" t="s">
        <x:v>177</x:v>
      </x:c>
      <x:c r="AI77" s="1" t="s">
        <x:v>168</x:v>
      </x:c>
      <x:c r="AJ77" s="1" t="s">
        <x:v>132</x:v>
      </x:c>
      <x:c r="AK77" s="1" t="s">
        <x:v>166</x:v>
      </x:c>
      <x:c r="AL77" s="1" t="s">
        <x:v>161</x:v>
      </x:c>
      <x:c r="AM77" s="1" t="s">
        <x:v>115</x:v>
      </x:c>
      <x:c r="AN77" s="1" t="s">
        <x:v>130</x:v>
      </x:c>
      <x:c r="AO77" s="1" t="s">
        <x:v>118</x:v>
      </x:c>
      <x:c r="AP77" s="1" t="s">
        <x:v>184</x:v>
      </x:c>
      <x:c r="AQ77" s="1" t="s">
        <x:v>115</x:v>
      </x:c>
      <x:c r="AR77" s="1" t="s">
        <x:v>133</x:v>
      </x:c>
      <x:c r="AS77" s="1" t="s">
        <x:v>113</x:v>
      </x:c>
      <x:c r="AT77" s="1" t="s">
        <x:v>129</x:v>
      </x:c>
      <x:c r="AU77" s="1" t="s">
        <x:v>127</x:v>
      </x:c>
      <x:c r="AV77" s="1" t="s">
        <x:v>114</x:v>
      </x:c>
      <x:c r="AW77" s="1" t="s">
        <x:v>118</x:v>
      </x:c>
      <x:c r="AX77" s="1" t="s">
        <x:v>137</x:v>
      </x:c>
      <x:c r="AY77" s="1" t="s">
        <x:v>138</x:v>
      </x:c>
      <x:c r="AZ77" s="1" t="s">
        <x:v>112</x:v>
      </x:c>
      <x:c r="BA77" s="1" t="s">
        <x:v>173</x:v>
      </x:c>
      <x:c r="BB77" s="1" t="s">
        <x:v>162</x:v>
      </x:c>
      <x:c r="BC77" s="1" t="s">
        <x:v>141</x:v>
      </x:c>
      <x:c r="BD77" s="1" t="s">
        <x:v>178</x:v>
      </x:c>
      <x:c r="BE77" s="11" t="n">
        <x:f>ROUND((((B77*2+C77+D77+E77+F77*2+G77+H77+I77)/10)+((J77*2+K77+L77+M77+N77*2+O77+P77+Q77)/10)*2)/3,2)</x:f>
        <x:v>6.33</x:v>
      </x:c>
      <x:c r="BF77" s="11" t="n">
        <x:f>ROUND((((R77*2+S77+T77+U77+V77*2+W77+X77+Y77)/10)+((Z77*2+AA77+AB77+AC77+AD77*2+AE77+AF77+AG77)/10)*2)/3,2)</x:f>
        <x:v>6.74</x:v>
      </x:c>
      <x:c r="BG77" s="11" t="n">
        <x:f>ROUND((((AH77*2+AI77+AJ77+AK77+AL77*2+AM77+AN77+AO77)/10)+((AP77*2+AQ77+AR77+AS77+AT77*2+AU77+AV77+AW77)/10)*2)/3,2)</x:f>
        <x:v>6.82</x:v>
      </x:c>
      <x:c r="BH77" s="13" t="str">
        <x:f>IF(BE77&lt;5,"Y",IF(BE77&lt;6.5,"TB",IF(BE77&lt;8,"K",IF(BE77&lt;9,"G","XS"))))</x:f>
        <x:v>TB</x:v>
      </x:c>
      <x:c r="BI77" s="13" t="str">
        <x:f>IF(BF77&lt;5,"Y",IF(BF77&lt;6.5,"TB",IF(BF77&lt;8,"K",IF(BF77&lt;9,"G","XS"))))</x:f>
        <x:v>K</x:v>
      </x:c>
      <x:c r="BJ77" s="13" t="str">
        <x:f>IF(BG77&lt;5,"Y",IF(BG77&lt;6.5,"TB",IF(BG77&lt;8,"K",IF(BG77&lt;9,"G","XS"))))</x:f>
        <x:v>K</x:v>
      </x:c>
      <x:c r="BK77" s="11" t="n">
        <x:f>ROUND((BE77/10)*4,2)</x:f>
        <x:v>2.53</x:v>
      </x:c>
      <x:c r="BL77" s="11" t="n">
        <x:f>ROUND((BF77/10)*4,2)</x:f>
        <x:v>2.7</x:v>
      </x:c>
      <x:c r="BM77" s="11" t="n">
        <x:f>ROUND((BG77/10)*4,2)</x:f>
        <x:v>2.73</x:v>
      </x:c>
      <x:c r="BN77" s="13" t="n">
        <x:f>IF(IF(OR(BD77="A",BD77="A1"),(BA77*2+BB77+BC77)/4,IF(BD77="B",(BA77+BB77*2+BC77)/4,(BA77+BB77+BC77)/3))&gt;=5,1,0)</x:f>
        <x:v>0</x:v>
      </x:c>
    </x:row>
    <x:row r="78">
      <x:c r="A78" s="1" t="s">
        <x:v>277</x:v>
      </x:c>
      <x:c r="B78" s="1" t="s">
        <x:v>118</x:v>
      </x:c>
      <x:c r="C78" s="1" t="s">
        <x:v>146</x:v>
      </x:c>
      <x:c r="D78" s="1" t="s">
        <x:v>151</x:v>
      </x:c>
      <x:c r="E78" s="1" t="s">
        <x:v>131</x:v>
      </x:c>
      <x:c r="F78" s="1" t="s">
        <x:v>213</x:v>
      </x:c>
      <x:c r="G78" s="1" t="s">
        <x:v>130</x:v>
      </x:c>
      <x:c r="H78" s="1" t="s">
        <x:v>148</x:v>
      </x:c>
      <x:c r="I78" s="1" t="s">
        <x:v>199</x:v>
      </x:c>
      <x:c r="J78" s="1" t="s">
        <x:v>161</x:v>
      </x:c>
      <x:c r="K78" s="1" t="s">
        <x:v>151</x:v>
      </x:c>
      <x:c r="L78" s="1" t="s">
        <x:v>149</x:v>
      </x:c>
      <x:c r="M78" s="1" t="s">
        <x:v>141</x:v>
      </x:c>
      <x:c r="N78" s="1" t="s">
        <x:v>153</x:v>
      </x:c>
      <x:c r="O78" s="1" t="s">
        <x:v>155</x:v>
      </x:c>
      <x:c r="P78" s="1" t="s">
        <x:v>150</x:v>
      </x:c>
      <x:c r="Q78" s="1" t="s">
        <x:v>149</x:v>
      </x:c>
      <x:c r="R78" s="1" t="s">
        <x:v>219</x:v>
      </x:c>
      <x:c r="S78" s="1" t="s">
        <x:v>148</x:v>
      </x:c>
      <x:c r="T78" s="1" t="s">
        <x:v>162</x:v>
      </x:c>
      <x:c r="U78" s="1" t="s">
        <x:v>169</x:v>
      </x:c>
      <x:c r="V78" s="1" t="s">
        <x:v>169</x:v>
      </x:c>
      <x:c r="W78" s="1" t="s">
        <x:v>162</x:v>
      </x:c>
      <x:c r="X78" s="1" t="s">
        <x:v>156</x:v>
      </x:c>
      <x:c r="Y78" s="1" t="s">
        <x:v>170</x:v>
      </x:c>
      <x:c r="Z78" s="1" t="s">
        <x:v>195</x:v>
      </x:c>
      <x:c r="AA78" s="1" t="s">
        <x:v>212</x:v>
      </x:c>
      <x:c r="AB78" s="1" t="s">
        <x:v>162</x:v>
      </x:c>
      <x:c r="AC78" s="1" t="s">
        <x:v>115</x:v>
      </x:c>
      <x:c r="AD78" s="1" t="s">
        <x:v>126</x:v>
      </x:c>
      <x:c r="AE78" s="1" t="s">
        <x:v>123</x:v>
      </x:c>
      <x:c r="AF78" s="1" t="s">
        <x:v>144</x:v>
      </x:c>
      <x:c r="AG78" s="1" t="s">
        <x:v>158</x:v>
      </x:c>
      <x:c r="AH78" s="1" t="s">
        <x:v>118</x:v>
      </x:c>
      <x:c r="AI78" s="1" t="s">
        <x:v>134</x:v>
      </x:c>
      <x:c r="AJ78" s="1" t="s">
        <x:v>145</x:v>
      </x:c>
      <x:c r="AK78" s="1" t="s">
        <x:v>156</x:v>
      </x:c>
      <x:c r="AL78" s="1" t="s">
        <x:v>195</x:v>
      </x:c>
      <x:c r="AM78" s="1" t="s">
        <x:v>144</x:v>
      </x:c>
      <x:c r="AN78" s="1" t="s">
        <x:v>155</x:v>
      </x:c>
      <x:c r="AO78" s="1" t="s">
        <x:v>153</x:v>
      </x:c>
      <x:c r="AP78" s="1" t="s">
        <x:v>146</x:v>
      </x:c>
      <x:c r="AQ78" s="1" t="s">
        <x:v>154</x:v>
      </x:c>
      <x:c r="AR78" s="1" t="s">
        <x:v>150</x:v>
      </x:c>
      <x:c r="AS78" s="1" t="s">
        <x:v>132</x:v>
      </x:c>
      <x:c r="AT78" s="1" t="s">
        <x:v>169</x:v>
      </x:c>
      <x:c r="AU78" s="1" t="s">
        <x:v>136</x:v>
      </x:c>
      <x:c r="AV78" s="1" t="s">
        <x:v>144</x:v>
      </x:c>
      <x:c r="AW78" s="1" t="s">
        <x:v>162</x:v>
      </x:c>
      <x:c r="AX78" s="1" t="s">
        <x:v>160</x:v>
      </x:c>
      <x:c r="AY78" s="1" t="s">
        <x:v>138</x:v>
      </x:c>
      <x:c r="AZ78" s="1" t="s">
        <x:v>112</x:v>
      </x:c>
      <x:c r="BA78" s="1" t="s">
        <x:v>190</x:v>
      </x:c>
      <x:c r="BB78" s="1" t="s">
        <x:v>162</x:v>
      </x:c>
      <x:c r="BC78" s="1" t="s">
        <x:v>140</x:v>
      </x:c>
      <x:c r="BD78" s="1" t="s">
        <x:v>178</x:v>
      </x:c>
      <x:c r="BE78" s="11" t="n">
        <x:f>ROUND((((B78*2+C78+D78+E78+F78*2+G78+H78+I78)/10)+((J78*2+K78+L78+M78+N78*2+O78+P78+Q78)/10)*2)/3,2)</x:f>
        <x:v>4.4</x:v>
      </x:c>
      <x:c r="BF78" s="11" t="n">
        <x:f>ROUND((((R78*2+S78+T78+U78+V78*2+W78+X78+Y78)/10)+((Z78*2+AA78+AB78+AC78+AD78*2+AE78+AF78+AG78)/10)*2)/3,2)</x:f>
        <x:v>4.51</x:v>
      </x:c>
      <x:c r="BG78" s="11" t="n">
        <x:f>ROUND((((AH78*2+AI78+AJ78+AK78+AL78*2+AM78+AN78+AO78)/10)+((AP78*2+AQ78+AR78+AS78+AT78*2+AU78+AV78+AW78)/10)*2)/3,2)</x:f>
        <x:v>4.77</x:v>
      </x:c>
      <x:c r="BH78" s="13" t="str">
        <x:f>IF(BE78&lt;5,"Y",IF(BE78&lt;6.5,"TB",IF(BE78&lt;8,"K",IF(BE78&lt;9,"G","XS"))))</x:f>
        <x:v>Y</x:v>
      </x:c>
      <x:c r="BI78" s="13" t="str">
        <x:f>IF(BF78&lt;5,"Y",IF(BF78&lt;6.5,"TB",IF(BF78&lt;8,"K",IF(BF78&lt;9,"G","XS"))))</x:f>
        <x:v>Y</x:v>
      </x:c>
      <x:c r="BJ78" s="13" t="str">
        <x:f>IF(BG78&lt;5,"Y",IF(BG78&lt;6.5,"TB",IF(BG78&lt;8,"K",IF(BG78&lt;9,"G","XS"))))</x:f>
        <x:v>Y</x:v>
      </x:c>
      <x:c r="BK78" s="11" t="n">
        <x:f>ROUND((BE78/10)*4,2)</x:f>
        <x:v>1.76</x:v>
      </x:c>
      <x:c r="BL78" s="11" t="n">
        <x:f>ROUND((BF78/10)*4,2)</x:f>
        <x:v>1.8</x:v>
      </x:c>
      <x:c r="BM78" s="11" t="n">
        <x:f>ROUND((BG78/10)*4,2)</x:f>
        <x:v>1.91</x:v>
      </x:c>
      <x:c r="BN78" s="13" t="n">
        <x:f>IF(IF(OR(BD78="A",BD78="A1"),(BA78*2+BB78+BC78)/4,IF(BD78="B",(BA78+BB78*2+BC78)/4,(BA78+BB78+BC78)/3))&gt;=5,1,0)</x:f>
        <x:v>0</x:v>
      </x:c>
    </x:row>
    <x:row r="79">
      <x:c r="A79" s="1" t="s">
        <x:v>278</x:v>
      </x:c>
      <x:c r="B79" s="1" t="s">
        <x:v>144</x:v>
      </x:c>
      <x:c r="C79" s="1" t="s">
        <x:v>164</x:v>
      </x:c>
      <x:c r="D79" s="1" t="s">
        <x:v>129</x:v>
      </x:c>
      <x:c r="E79" s="1" t="s">
        <x:v>113</x:v>
      </x:c>
      <x:c r="F79" s="1" t="s">
        <x:v>131</x:v>
      </x:c>
      <x:c r="G79" s="1" t="s">
        <x:v>164</x:v>
      </x:c>
      <x:c r="H79" s="1" t="s">
        <x:v>159</x:v>
      </x:c>
      <x:c r="I79" s="1" t="s">
        <x:v>147</x:v>
      </x:c>
      <x:c r="J79" s="1" t="s">
        <x:v>161</x:v>
      </x:c>
      <x:c r="K79" s="1" t="s">
        <x:v>166</x:v>
      </x:c>
      <x:c r="L79" s="1" t="s">
        <x:v>130</x:v>
      </x:c>
      <x:c r="M79" s="1" t="s">
        <x:v>129</x:v>
      </x:c>
      <x:c r="N79" s="1" t="s">
        <x:v>115</x:v>
      </x:c>
      <x:c r="O79" s="1" t="s">
        <x:v>181</x:v>
      </x:c>
      <x:c r="P79" s="1" t="s">
        <x:v>117</x:v>
      </x:c>
      <x:c r="Q79" s="1" t="s">
        <x:v>161</x:v>
      </x:c>
      <x:c r="R79" s="1" t="s">
        <x:v>127</x:v>
      </x:c>
      <x:c r="S79" s="1" t="s">
        <x:v>121</x:v>
      </x:c>
      <x:c r="T79" s="1" t="s">
        <x:v>144</x:v>
      </x:c>
      <x:c r="U79" s="1" t="s">
        <x:v>115</x:v>
      </x:c>
      <x:c r="V79" s="1" t="s">
        <x:v>170</x:v>
      </x:c>
      <x:c r="W79" s="1" t="s">
        <x:v>114</x:v>
      </x:c>
      <x:c r="X79" s="1" t="s">
        <x:v>168</x:v>
      </x:c>
      <x:c r="Y79" s="1" t="s">
        <x:v>154</x:v>
      </x:c>
      <x:c r="Z79" s="1" t="s">
        <x:v>127</x:v>
      </x:c>
      <x:c r="AA79" s="1" t="s">
        <x:v>123</x:v>
      </x:c>
      <x:c r="AB79" s="1" t="s">
        <x:v>127</x:v>
      </x:c>
      <x:c r="AC79" s="1" t="s">
        <x:v>186</x:v>
      </x:c>
      <x:c r="AD79" s="1" t="s">
        <x:v>127</x:v>
      </x:c>
      <x:c r="AE79" s="1" t="s">
        <x:v>125</x:v>
      </x:c>
      <x:c r="AF79" s="1" t="s">
        <x:v>119</x:v>
      </x:c>
      <x:c r="AG79" s="1" t="s">
        <x:v>161</x:v>
      </x:c>
      <x:c r="AH79" s="1" t="s">
        <x:v>159</x:v>
      </x:c>
      <x:c r="AI79" s="1" t="s">
        <x:v>125</x:v>
      </x:c>
      <x:c r="AJ79" s="1" t="s">
        <x:v>164</x:v>
      </x:c>
      <x:c r="AK79" s="1" t="s">
        <x:v>123</x:v>
      </x:c>
      <x:c r="AL79" s="1" t="s">
        <x:v>147</x:v>
      </x:c>
      <x:c r="AM79" s="1" t="s">
        <x:v>116</x:v>
      </x:c>
      <x:c r="AN79" s="1" t="s">
        <x:v>115</x:v>
      </x:c>
      <x:c r="AO79" s="1" t="s">
        <x:v>156</x:v>
      </x:c>
      <x:c r="AP79" s="1" t="s">
        <x:v>165</x:v>
      </x:c>
      <x:c r="AQ79" s="1" t="s">
        <x:v>177</x:v>
      </x:c>
      <x:c r="AR79" s="1" t="s">
        <x:v>159</x:v>
      </x:c>
      <x:c r="AS79" s="1" t="s">
        <x:v>116</x:v>
      </x:c>
      <x:c r="AT79" s="1" t="s">
        <x:v>121</x:v>
      </x:c>
      <x:c r="AU79" s="1" t="s">
        <x:v>129</x:v>
      </x:c>
      <x:c r="AV79" s="1" t="s">
        <x:v>117</x:v>
      </x:c>
      <x:c r="AW79" s="1" t="s">
        <x:v>150</x:v>
      </x:c>
      <x:c r="AX79" s="1" t="s">
        <x:v>137</x:v>
      </x:c>
      <x:c r="AY79" s="1" t="s">
        <x:v>138</x:v>
      </x:c>
      <x:c r="AZ79" s="1" t="s">
        <x:v>139</x:v>
      </x:c>
      <x:c r="BA79" s="1" t="s">
        <x:v>140</x:v>
      </x:c>
      <x:c r="BB79" s="1" t="s">
        <x:v>146</x:v>
      </x:c>
      <x:c r="BC79" s="1" t="s">
        <x:v>162</x:v>
      </x:c>
      <x:c r="BD79" s="1" t="s">
        <x:v>178</x:v>
      </x:c>
      <x:c r="BE79" s="11" t="n">
        <x:f>ROUND((((B79*2+C79+D79+E79+F79*2+G79+H79+I79)/10)+((J79*2+K79+L79+M79+N79*2+O79+P79+Q79)/10)*2)/3,2)</x:f>
        <x:v>6.43</x:v>
      </x:c>
      <x:c r="BF79" s="11" t="n">
        <x:f>ROUND((((R79*2+S79+T79+U79+V79*2+W79+X79+Y79)/10)+((Z79*2+AA79+AB79+AC79+AD79*2+AE79+AF79+AG79)/10)*2)/3,2)</x:f>
        <x:v>6.75</x:v>
      </x:c>
      <x:c r="BG79" s="11" t="n">
        <x:f>ROUND((((AH79*2+AI79+AJ79+AK79+AL79*2+AM79+AN79+AO79)/10)+((AP79*2+AQ79+AR79+AS79+AT79*2+AU79+AV79+AW79)/10)*2)/3,2)</x:f>
        <x:v>6.64</x:v>
      </x:c>
      <x:c r="BH79" s="13" t="str">
        <x:f>IF(BE79&lt;5,"Y",IF(BE79&lt;6.5,"TB",IF(BE79&lt;8,"K",IF(BE79&lt;9,"G","XS"))))</x:f>
        <x:v>TB</x:v>
      </x:c>
      <x:c r="BI79" s="13" t="str">
        <x:f>IF(BF79&lt;5,"Y",IF(BF79&lt;6.5,"TB",IF(BF79&lt;8,"K",IF(BF79&lt;9,"G","XS"))))</x:f>
        <x:v>K</x:v>
      </x:c>
      <x:c r="BJ79" s="13" t="str">
        <x:f>IF(BG79&lt;5,"Y",IF(BG79&lt;6.5,"TB",IF(BG79&lt;8,"K",IF(BG79&lt;9,"G","XS"))))</x:f>
        <x:v>K</x:v>
      </x:c>
      <x:c r="BK79" s="11" t="n">
        <x:f>ROUND((BE79/10)*4,2)</x:f>
        <x:v>2.57</x:v>
      </x:c>
      <x:c r="BL79" s="11" t="n">
        <x:f>ROUND((BF79/10)*4,2)</x:f>
        <x:v>2.7</x:v>
      </x:c>
      <x:c r="BM79" s="11" t="n">
        <x:f>ROUND((BG79/10)*4,2)</x:f>
        <x:v>2.66</x:v>
      </x:c>
      <x:c r="BN79" s="13" t="n">
        <x:f>IF(IF(OR(BD79="A",BD79="A1"),(BA79*2+BB79+BC79)/4,IF(BD79="B",(BA79+BB79*2+BC79)/4,(BA79+BB79+BC79)/3))&gt;=5,1,0)</x:f>
        <x:v>0</x:v>
      </x:c>
    </x:row>
    <x:row r="80">
      <x:c r="A80" s="1" t="s">
        <x:v>279</x:v>
      </x:c>
      <x:c r="B80" s="1" t="s">
        <x:v>126</x:v>
      </x:c>
      <x:c r="C80" s="1" t="s">
        <x:v>212</x:v>
      </x:c>
      <x:c r="D80" s="1" t="s">
        <x:v>152</x:v>
      </x:c>
      <x:c r="E80" s="1" t="s">
        <x:v>129</x:v>
      </x:c>
      <x:c r="F80" s="1" t="s">
        <x:v>147</x:v>
      </x:c>
      <x:c r="G80" s="1" t="s">
        <x:v>170</x:v>
      </x:c>
      <x:c r="H80" s="1" t="s">
        <x:v>168</x:v>
      </x:c>
      <x:c r="I80" s="1" t="s">
        <x:v>141</x:v>
      </x:c>
      <x:c r="J80" s="1" t="s">
        <x:v>164</x:v>
      </x:c>
      <x:c r="K80" s="1" t="s">
        <x:v>118</x:v>
      </x:c>
      <x:c r="L80" s="1" t="s">
        <x:v>147</x:v>
      </x:c>
      <x:c r="M80" s="1" t="s">
        <x:v>168</x:v>
      </x:c>
      <x:c r="N80" s="1" t="s">
        <x:v>147</x:v>
      </x:c>
      <x:c r="O80" s="1" t="s">
        <x:v>159</x:v>
      </x:c>
      <x:c r="P80" s="1" t="s">
        <x:v>164</x:v>
      </x:c>
      <x:c r="Q80" s="1" t="s">
        <x:v>166</x:v>
      </x:c>
      <x:c r="R80" s="1" t="s">
        <x:v>135</x:v>
      </x:c>
      <x:c r="S80" s="1" t="s">
        <x:v>150</x:v>
      </x:c>
      <x:c r="T80" s="1" t="s">
        <x:v>147</x:v>
      </x:c>
      <x:c r="U80" s="1" t="s">
        <x:v>168</x:v>
      </x:c>
      <x:c r="V80" s="1" t="s">
        <x:v>150</x:v>
      </x:c>
      <x:c r="W80" s="1" t="s">
        <x:v>166</x:v>
      </x:c>
      <x:c r="X80" s="1" t="s">
        <x:v>115</x:v>
      </x:c>
      <x:c r="Y80" s="1" t="s">
        <x:v>212</x:v>
      </x:c>
      <x:c r="Z80" s="1" t="s">
        <x:v>121</x:v>
      </x:c>
      <x:c r="AA80" s="1" t="s">
        <x:v>216</x:v>
      </x:c>
      <x:c r="AB80" s="1" t="s">
        <x:v>123</x:v>
      </x:c>
      <x:c r="AC80" s="1" t="s">
        <x:v>146</x:v>
      </x:c>
      <x:c r="AD80" s="1" t="s">
        <x:v>156</x:v>
      </x:c>
      <x:c r="AE80" s="1" t="s">
        <x:v>130</x:v>
      </x:c>
      <x:c r="AF80" s="1" t="s">
        <x:v>177</x:v>
      </x:c>
      <x:c r="AG80" s="1" t="s">
        <x:v>162</x:v>
      </x:c>
      <x:c r="AH80" s="1" t="s">
        <x:v>168</x:v>
      </x:c>
      <x:c r="AI80" s="1" t="s">
        <x:v>168</x:v>
      </x:c>
      <x:c r="AJ80" s="1" t="s">
        <x:v>133</x:v>
      </x:c>
      <x:c r="AK80" s="1" t="s">
        <x:v>121</x:v>
      </x:c>
      <x:c r="AL80" s="1" t="s">
        <x:v>151</x:v>
      </x:c>
      <x:c r="AM80" s="1" t="s">
        <x:v>126</x:v>
      </x:c>
      <x:c r="AN80" s="1" t="s">
        <x:v>158</x:v>
      </x:c>
      <x:c r="AO80" s="1" t="s">
        <x:v>144</x:v>
      </x:c>
      <x:c r="AP80" s="1" t="s">
        <x:v>181</x:v>
      </x:c>
      <x:c r="AQ80" s="1" t="s">
        <x:v>166</x:v>
      </x:c>
      <x:c r="AR80" s="1" t="s">
        <x:v>129</x:v>
      </x:c>
      <x:c r="AS80" s="1" t="s">
        <x:v>135</x:v>
      </x:c>
      <x:c r="AT80" s="1" t="s">
        <x:v>147</x:v>
      </x:c>
      <x:c r="AU80" s="1" t="s">
        <x:v>168</x:v>
      </x:c>
      <x:c r="AV80" s="1" t="s">
        <x:v>133</x:v>
      </x:c>
      <x:c r="AW80" s="1" t="s">
        <x:v>123</x:v>
      </x:c>
      <x:c r="AX80" s="1" t="s">
        <x:v>160</x:v>
      </x:c>
      <x:c r="AY80" s="1" t="s">
        <x:v>138</x:v>
      </x:c>
      <x:c r="AZ80" s="1" t="s">
        <x:v>112</x:v>
      </x:c>
      <x:c r="BA80" s="1" t="s">
        <x:v>140</x:v>
      </x:c>
      <x:c r="BB80" s="1" t="s">
        <x:v>146</x:v>
      </x:c>
      <x:c r="BC80" s="1" t="s">
        <x:v>146</x:v>
      </x:c>
      <x:c r="BD80" s="1" t="s">
        <x:v>267</x:v>
      </x:c>
      <x:c r="BE80" s="11" t="n">
        <x:f>ROUND((((B80*2+C80+D80+E80+F80*2+G80+H80+I80)/10)+((J80*2+K80+L80+M80+N80*2+O80+P80+Q80)/10)*2)/3,2)</x:f>
        <x:v>5.78</x:v>
      </x:c>
      <x:c r="BF80" s="11" t="n">
        <x:f>ROUND((((R80*2+S80+T80+U80+V80*2+W80+X80+Y80)/10)+((Z80*2+AA80+AB80+AC80+AD80*2+AE80+AF80+AG80)/10)*2)/3,2)</x:f>
        <x:v>5.33</x:v>
      </x:c>
      <x:c r="BG80" s="11" t="n">
        <x:f>ROUND((((AH80*2+AI80+AJ80+AK80+AL80*2+AM80+AN80+AO80)/10)+((AP80*2+AQ80+AR80+AS80+AT80*2+AU80+AV80+AW80)/10)*2)/3,2)</x:f>
        <x:v>6.13</x:v>
      </x:c>
      <x:c r="BH80" s="13" t="str">
        <x:f>IF(BE80&lt;5,"Y",IF(BE80&lt;6.5,"TB",IF(BE80&lt;8,"K",IF(BE80&lt;9,"G","XS"))))</x:f>
        <x:v>TB</x:v>
      </x:c>
      <x:c r="BI80" s="13" t="str">
        <x:f>IF(BF80&lt;5,"Y",IF(BF80&lt;6.5,"TB",IF(BF80&lt;8,"K",IF(BF80&lt;9,"G","XS"))))</x:f>
        <x:v>TB</x:v>
      </x:c>
      <x:c r="BJ80" s="13" t="str">
        <x:f>IF(BG80&lt;5,"Y",IF(BG80&lt;6.5,"TB",IF(BG80&lt;8,"K",IF(BG80&lt;9,"G","XS"))))</x:f>
        <x:v>TB</x:v>
      </x:c>
      <x:c r="BK80" s="11" t="n">
        <x:f>ROUND((BE80/10)*4,2)</x:f>
        <x:v>2.31</x:v>
      </x:c>
      <x:c r="BL80" s="11" t="n">
        <x:f>ROUND((BF80/10)*4,2)</x:f>
        <x:v>2.13</x:v>
      </x:c>
      <x:c r="BM80" s="11" t="n">
        <x:f>ROUND((BG80/10)*4,2)</x:f>
        <x:v>2.45</x:v>
      </x:c>
      <x:c r="BN80" s="13" t="n">
        <x:f>IF(IF(OR(BD80="A",BD80="A1"),(BA80*2+BB80+BC80)/4,IF(BD80="B",(BA80+BB80*2+BC80)/4,(BA80+BB80+BC80)/3))&gt;=5,1,0)</x:f>
        <x:v>0</x:v>
      </x:c>
    </x:row>
    <x:row r="81">
      <x:c r="A81" s="1" t="s">
        <x:v>280</x:v>
      </x:c>
      <x:c r="B81" s="1" t="s">
        <x:v>147</x:v>
      </x:c>
      <x:c r="C81" s="1" t="s">
        <x:v>151</x:v>
      </x:c>
      <x:c r="D81" s="1" t="s">
        <x:v>130</x:v>
      </x:c>
      <x:c r="E81" s="1" t="s">
        <x:v>174</x:v>
      </x:c>
      <x:c r="F81" s="1" t="s">
        <x:v>164</x:v>
      </x:c>
      <x:c r="G81" s="1" t="s">
        <x:v>127</x:v>
      </x:c>
      <x:c r="H81" s="1" t="s">
        <x:v>116</x:v>
      </x:c>
      <x:c r="I81" s="1" t="s">
        <x:v>131</x:v>
      </x:c>
      <x:c r="J81" s="1" t="s">
        <x:v>126</x:v>
      </x:c>
      <x:c r="K81" s="1" t="s">
        <x:v>134</x:v>
      </x:c>
      <x:c r="L81" s="1" t="s">
        <x:v>168</x:v>
      </x:c>
      <x:c r="M81" s="1" t="s">
        <x:v>132</x:v>
      </x:c>
      <x:c r="N81" s="1" t="s">
        <x:v>121</x:v>
      </x:c>
      <x:c r="O81" s="1" t="s">
        <x:v>136</x:v>
      </x:c>
      <x:c r="P81" s="1" t="s">
        <x:v>132</x:v>
      </x:c>
      <x:c r="Q81" s="1" t="s">
        <x:v>145</x:v>
      </x:c>
      <x:c r="R81" s="1" t="s">
        <x:v>134</x:v>
      </x:c>
      <x:c r="S81" s="1" t="s">
        <x:v>118</x:v>
      </x:c>
      <x:c r="T81" s="1" t="s">
        <x:v>154</x:v>
      </x:c>
      <x:c r="U81" s="1" t="s">
        <x:v>136</x:v>
      </x:c>
      <x:c r="V81" s="1" t="s">
        <x:v>132</x:v>
      </x:c>
      <x:c r="W81" s="1" t="s">
        <x:v>161</x:v>
      </x:c>
      <x:c r="X81" s="1" t="s">
        <x:v>161</x:v>
      </x:c>
      <x:c r="Y81" s="1" t="s">
        <x:v>155</x:v>
      </x:c>
      <x:c r="Z81" s="1" t="s">
        <x:v>162</x:v>
      </x:c>
      <x:c r="AA81" s="1" t="s">
        <x:v>126</x:v>
      </x:c>
      <x:c r="AB81" s="1" t="s">
        <x:v>144</x:v>
      </x:c>
      <x:c r="AC81" s="1" t="s">
        <x:v>127</x:v>
      </x:c>
      <x:c r="AD81" s="1" t="s">
        <x:v>166</x:v>
      </x:c>
      <x:c r="AE81" s="1" t="s">
        <x:v>126</x:v>
      </x:c>
      <x:c r="AF81" s="1" t="s">
        <x:v>133</x:v>
      </x:c>
      <x:c r="AG81" s="1" t="s">
        <x:v>141</x:v>
      </x:c>
      <x:c r="AH81" s="1" t="s">
        <x:v>126</x:v>
      </x:c>
      <x:c r="AI81" s="1" t="s">
        <x:v>133</x:v>
      </x:c>
      <x:c r="AJ81" s="1" t="s">
        <x:v>150</x:v>
      </x:c>
      <x:c r="AK81" s="1" t="s">
        <x:v>155</x:v>
      </x:c>
      <x:c r="AL81" s="1" t="s">
        <x:v>134</x:v>
      </x:c>
      <x:c r="AM81" s="1" t="s">
        <x:v>126</x:v>
      </x:c>
      <x:c r="AN81" s="1" t="s">
        <x:v>131</x:v>
      </x:c>
      <x:c r="AO81" s="1" t="s">
        <x:v>136</x:v>
      </x:c>
      <x:c r="AP81" s="1" t="s">
        <x:v>126</x:v>
      </x:c>
      <x:c r="AQ81" s="1" t="s">
        <x:v>118</x:v>
      </x:c>
      <x:c r="AR81" s="1" t="s">
        <x:v>144</x:v>
      </x:c>
      <x:c r="AS81" s="1" t="s">
        <x:v>131</x:v>
      </x:c>
      <x:c r="AT81" s="1" t="s">
        <x:v>150</x:v>
      </x:c>
      <x:c r="AU81" s="1" t="s">
        <x:v>141</x:v>
      </x:c>
      <x:c r="AV81" s="1" t="s">
        <x:v>131</x:v>
      </x:c>
      <x:c r="AW81" s="1" t="s">
        <x:v>161</x:v>
      </x:c>
      <x:c r="AX81" s="1" t="s">
        <x:v>160</x:v>
      </x:c>
      <x:c r="AY81" s="1" t="s">
        <x:v>138</x:v>
      </x:c>
      <x:c r="AZ81" s="1" t="s">
        <x:v>112</x:v>
      </x:c>
      <x:c r="BA81" s="1" t="s">
        <x:v>162</x:v>
      </x:c>
      <x:c r="BB81" s="1" t="s">
        <x:v>141</x:v>
      </x:c>
      <x:c r="BC81" s="1" t="s">
        <x:v>172</x:v>
      </x:c>
      <x:c r="BD81" s="1" t="s">
        <x:v>267</x:v>
      </x:c>
      <x:c r="BE81" s="11" t="n">
        <x:f>ROUND((((B81*2+C81+D81+E81+F81*2+G81+H81+I81)/10)+((J81*2+K81+L81+M81+N81*2+O81+P81+Q81)/10)*2)/3,2)</x:f>
        <x:v>5.86</x:v>
      </x:c>
      <x:c r="BF81" s="11" t="n">
        <x:f>ROUND((((R81*2+S81+T81+U81+V81*2+W81+X81+Y81)/10)+((Z81*2+AA81+AB81+AC81+AD81*2+AE81+AF81+AG81)/10)*2)/3,2)</x:f>
        <x:v>5.37</x:v>
      </x:c>
      <x:c r="BG81" s="11" t="n">
        <x:f>ROUND((((AH81*2+AI81+AJ81+AK81+AL81*2+AM81+AN81+AO81)/10)+((AP81*2+AQ81+AR81+AS81+AT81*2+AU81+AV81+AW81)/10)*2)/3,2)</x:f>
        <x:v>5.3</x:v>
      </x:c>
      <x:c r="BH81" s="13" t="str">
        <x:f>IF(BE81&lt;5,"Y",IF(BE81&lt;6.5,"TB",IF(BE81&lt;8,"K",IF(BE81&lt;9,"G","XS"))))</x:f>
        <x:v>TB</x:v>
      </x:c>
      <x:c r="BI81" s="13" t="str">
        <x:f>IF(BF81&lt;5,"Y",IF(BF81&lt;6.5,"TB",IF(BF81&lt;8,"K",IF(BF81&lt;9,"G","XS"))))</x:f>
        <x:v>TB</x:v>
      </x:c>
      <x:c r="BJ81" s="13" t="str">
        <x:f>IF(BG81&lt;5,"Y",IF(BG81&lt;6.5,"TB",IF(BG81&lt;8,"K",IF(BG81&lt;9,"G","XS"))))</x:f>
        <x:v>TB</x:v>
      </x:c>
      <x:c r="BK81" s="11" t="n">
        <x:f>ROUND((BE81/10)*4,2)</x:f>
        <x:v>2.34</x:v>
      </x:c>
      <x:c r="BL81" s="11" t="n">
        <x:f>ROUND((BF81/10)*4,2)</x:f>
        <x:v>2.15</x:v>
      </x:c>
      <x:c r="BM81" s="11" t="n">
        <x:f>ROUND((BG81/10)*4,2)</x:f>
        <x:v>2.12</x:v>
      </x:c>
      <x:c r="BN81" s="13" t="n">
        <x:f>IF(IF(OR(BD81="A",BD81="A1"),(BA81*2+BB81+BC81)/4,IF(BD81="B",(BA81+BB81*2+BC81)/4,(BA81+BB81+BC81)/3))&gt;=5,1,0)</x:f>
        <x:v>0</x:v>
      </x:c>
    </x:row>
    <x:row r="82">
      <x:c r="A82" s="1" t="s">
        <x:v>281</x:v>
      </x:c>
      <x:c r="B82" s="1" t="s">
        <x:v>170</x:v>
      </x:c>
      <x:c r="C82" s="1" t="s">
        <x:v>145</x:v>
      </x:c>
      <x:c r="D82" s="1" t="s">
        <x:v>118</x:v>
      </x:c>
      <x:c r="E82" s="1" t="s">
        <x:v>155</x:v>
      </x:c>
      <x:c r="F82" s="1" t="s">
        <x:v>131</x:v>
      </x:c>
      <x:c r="G82" s="1" t="s">
        <x:v>169</x:v>
      </x:c>
      <x:c r="H82" s="1" t="s">
        <x:v>121</x:v>
      </x:c>
      <x:c r="I82" s="1" t="s">
        <x:v>156</x:v>
      </x:c>
      <x:c r="J82" s="1" t="s">
        <x:v>156</x:v>
      </x:c>
      <x:c r="K82" s="1" t="s">
        <x:v>146</x:v>
      </x:c>
      <x:c r="L82" s="1" t="s">
        <x:v>141</x:v>
      </x:c>
      <x:c r="M82" s="1" t="s">
        <x:v>131</x:v>
      </x:c>
      <x:c r="N82" s="1" t="s">
        <x:v>131</x:v>
      </x:c>
      <x:c r="O82" s="1" t="s">
        <x:v>130</x:v>
      </x:c>
      <x:c r="P82" s="1" t="s">
        <x:v>113</x:v>
      </x:c>
      <x:c r="Q82" s="1" t="s">
        <x:v>154</x:v>
      </x:c>
      <x:c r="R82" s="1" t="s">
        <x:v>133</x:v>
      </x:c>
      <x:c r="S82" s="1" t="s">
        <x:v>155</x:v>
      </x:c>
      <x:c r="T82" s="1" t="s">
        <x:v>134</x:v>
      </x:c>
      <x:c r="U82" s="1" t="s">
        <x:v>158</x:v>
      </x:c>
      <x:c r="V82" s="1" t="s">
        <x:v>134</x:v>
      </x:c>
      <x:c r="W82" s="1" t="s">
        <x:v>170</x:v>
      </x:c>
      <x:c r="X82" s="1" t="s">
        <x:v>116</x:v>
      </x:c>
      <x:c r="Y82" s="1" t="s">
        <x:v>169</x:v>
      </x:c>
      <x:c r="Z82" s="1" t="s">
        <x:v>134</x:v>
      </x:c>
      <x:c r="AA82" s="1" t="s">
        <x:v>147</x:v>
      </x:c>
      <x:c r="AB82" s="1" t="s">
        <x:v>156</x:v>
      </x:c>
      <x:c r="AC82" s="1" t="s">
        <x:v>115</x:v>
      </x:c>
      <x:c r="AD82" s="1" t="s">
        <x:v>121</x:v>
      </x:c>
      <x:c r="AE82" s="1" t="s">
        <x:v>164</x:v>
      </x:c>
      <x:c r="AF82" s="1" t="s">
        <x:v>131</x:v>
      </x:c>
      <x:c r="AG82" s="1" t="s">
        <x:v>150</x:v>
      </x:c>
      <x:c r="AH82" s="1" t="s">
        <x:v>159</x:v>
      </x:c>
      <x:c r="AI82" s="1" t="s">
        <x:v>170</x:v>
      </x:c>
      <x:c r="AJ82" s="1" t="s">
        <x:v>134</x:v>
      </x:c>
      <x:c r="AK82" s="1" t="s">
        <x:v>118</x:v>
      </x:c>
      <x:c r="AL82" s="1" t="s">
        <x:v>121</x:v>
      </x:c>
      <x:c r="AM82" s="1" t="s">
        <x:v>154</x:v>
      </x:c>
      <x:c r="AN82" s="1" t="s">
        <x:v>158</x:v>
      </x:c>
      <x:c r="AO82" s="1" t="s">
        <x:v>169</x:v>
      </x:c>
      <x:c r="AP82" s="1" t="s">
        <x:v>123</x:v>
      </x:c>
      <x:c r="AQ82" s="1" t="s">
        <x:v>123</x:v>
      </x:c>
      <x:c r="AR82" s="1" t="s">
        <x:v>130</x:v>
      </x:c>
      <x:c r="AS82" s="1" t="s">
        <x:v>127</x:v>
      </x:c>
      <x:c r="AT82" s="1" t="s">
        <x:v>113</x:v>
      </x:c>
      <x:c r="AU82" s="1" t="s">
        <x:v>152</x:v>
      </x:c>
      <x:c r="AV82" s="1" t="s">
        <x:v>156</x:v>
      </x:c>
      <x:c r="AW82" s="1" t="s">
        <x:v>155</x:v>
      </x:c>
      <x:c r="AX82" s="1" t="s">
        <x:v>137</x:v>
      </x:c>
      <x:c r="AY82" s="1" t="s">
        <x:v>138</x:v>
      </x:c>
      <x:c r="AZ82" s="1" t="s">
        <x:v>139</x:v>
      </x:c>
      <x:c r="BA82" s="1" t="s">
        <x:v>143</x:v>
      </x:c>
      <x:c r="BB82" s="1" t="s">
        <x:v>162</x:v>
      </x:c>
      <x:c r="BC82" s="1" t="s">
        <x:v>118</x:v>
      </x:c>
      <x:c r="BD82" s="1" t="s">
        <x:v>142</x:v>
      </x:c>
      <x:c r="BE82" s="11" t="n">
        <x:f>ROUND((((B82*2+C82+D82+E82+F82*2+G82+H82+I82)/10)+((J82*2+K82+L82+M82+N82*2+O82+P82+Q82)/10)*2)/3,2)</x:f>
        <x:v>5.2</x:v>
      </x:c>
      <x:c r="BF82" s="11" t="n">
        <x:f>ROUND((((R82*2+S82+T82+U82+V82*2+W82+X82+Y82)/10)+((Z82*2+AA82+AB82+AC82+AD82*2+AE82+AF82+AG82)/10)*2)/3,2)</x:f>
        <x:v>5.42</x:v>
      </x:c>
      <x:c r="BG82" s="11" t="n">
        <x:f>ROUND((((AH82*2+AI82+AJ82+AK82+AL82*2+AM82+AN82+AO82)/10)+((AP82*2+AQ82+AR82+AS82+AT82*2+AU82+AV82+AW82)/10)*2)/3,2)</x:f>
        <x:v>5.83</x:v>
      </x:c>
      <x:c r="BH82" s="13" t="str">
        <x:f>IF(BE82&lt;5,"Y",IF(BE82&lt;6.5,"TB",IF(BE82&lt;8,"K",IF(BE82&lt;9,"G","XS"))))</x:f>
        <x:v>TB</x:v>
      </x:c>
      <x:c r="BI82" s="13" t="str">
        <x:f>IF(BF82&lt;5,"Y",IF(BF82&lt;6.5,"TB",IF(BF82&lt;8,"K",IF(BF82&lt;9,"G","XS"))))</x:f>
        <x:v>TB</x:v>
      </x:c>
      <x:c r="BJ82" s="13" t="str">
        <x:f>IF(BG82&lt;5,"Y",IF(BG82&lt;6.5,"TB",IF(BG82&lt;8,"K",IF(BG82&lt;9,"G","XS"))))</x:f>
        <x:v>TB</x:v>
      </x:c>
      <x:c r="BK82" s="11" t="n">
        <x:f>ROUND((BE82/10)*4,2)</x:f>
        <x:v>2.08</x:v>
      </x:c>
      <x:c r="BL82" s="11" t="n">
        <x:f>ROUND((BF82/10)*4,2)</x:f>
        <x:v>2.17</x:v>
      </x:c>
      <x:c r="BM82" s="11" t="n">
        <x:f>ROUND((BG82/10)*4,2)</x:f>
        <x:v>2.33</x:v>
      </x:c>
      <x:c r="BN82" s="13" t="n">
        <x:f>IF(IF(OR(BD82="A",BD82="A1"),(BA82*2+BB82+BC82)/4,IF(BD82="B",(BA82+BB82*2+BC82)/4,(BA82+BB82+BC82)/3))&gt;=5,1,0)</x:f>
        <x:v>0</x:v>
      </x:c>
    </x:row>
    <x:row r="83">
      <x:c r="A83" s="1" t="s">
        <x:v>282</x:v>
      </x:c>
      <x:c r="B83" s="1" t="s">
        <x:v>185</x:v>
      </x:c>
      <x:c r="C83" s="1" t="s">
        <x:v>135</x:v>
      </x:c>
      <x:c r="D83" s="1" t="s">
        <x:v>156</x:v>
      </x:c>
      <x:c r="E83" s="1" t="s">
        <x:v>132</x:v>
      </x:c>
      <x:c r="F83" s="1" t="s">
        <x:v>123</x:v>
      </x:c>
      <x:c r="G83" s="1" t="s">
        <x:v>124</x:v>
      </x:c>
      <x:c r="H83" s="1" t="s">
        <x:v>129</x:v>
      </x:c>
      <x:c r="I83" s="1" t="s">
        <x:v>164</x:v>
      </x:c>
      <x:c r="J83" s="1" t="s">
        <x:v>182</x:v>
      </x:c>
      <x:c r="K83" s="1" t="s">
        <x:v>127</x:v>
      </x:c>
      <x:c r="L83" s="1" t="s">
        <x:v>130</x:v>
      </x:c>
      <x:c r="M83" s="1" t="s">
        <x:v>114</x:v>
      </x:c>
      <x:c r="N83" s="1" t="s">
        <x:v>166</x:v>
      </x:c>
      <x:c r="O83" s="1" t="s">
        <x:v>184</x:v>
      </x:c>
      <x:c r="P83" s="1" t="s">
        <x:v>159</x:v>
      </x:c>
      <x:c r="Q83" s="1" t="s">
        <x:v>127</x:v>
      </x:c>
      <x:c r="R83" s="1" t="s">
        <x:v>179</x:v>
      </x:c>
      <x:c r="S83" s="1" t="s">
        <x:v>164</x:v>
      </x:c>
      <x:c r="T83" s="1" t="s">
        <x:v>166</x:v>
      </x:c>
      <x:c r="U83" s="1" t="s">
        <x:v>127</x:v>
      </x:c>
      <x:c r="V83" s="1" t="s">
        <x:v>115</x:v>
      </x:c>
      <x:c r="W83" s="1" t="s">
        <x:v>123</x:v>
      </x:c>
      <x:c r="X83" s="1" t="s">
        <x:v>165</x:v>
      </x:c>
      <x:c r="Y83" s="1" t="s">
        <x:v>133</x:v>
      </x:c>
      <x:c r="Z83" s="1" t="s">
        <x:v>128</x:v>
      </x:c>
      <x:c r="AA83" s="1" t="s">
        <x:v>116</x:v>
      </x:c>
      <x:c r="AB83" s="1" t="s">
        <x:v>161</x:v>
      </x:c>
      <x:c r="AC83" s="1" t="s">
        <x:v>132</x:v>
      </x:c>
      <x:c r="AD83" s="1" t="s">
        <x:v>129</x:v>
      </x:c>
      <x:c r="AE83" s="1" t="s">
        <x:v>165</x:v>
      </x:c>
      <x:c r="AF83" s="1" t="s">
        <x:v>136</x:v>
      </x:c>
      <x:c r="AG83" s="1" t="s">
        <x:v>164</x:v>
      </x:c>
      <x:c r="AH83" s="1" t="s">
        <x:v>124</x:v>
      </x:c>
      <x:c r="AI83" s="1" t="s">
        <x:v>116</x:v>
      </x:c>
      <x:c r="AJ83" s="1" t="s">
        <x:v>114</x:v>
      </x:c>
      <x:c r="AK83" s="1" t="s">
        <x:v>130</x:v>
      </x:c>
      <x:c r="AL83" s="1" t="s">
        <x:v>159</x:v>
      </x:c>
      <x:c r="AM83" s="1" t="s">
        <x:v>155</x:v>
      </x:c>
      <x:c r="AN83" s="1" t="s">
        <x:v>134</x:v>
      </x:c>
      <x:c r="AO83" s="1" t="s">
        <x:v>134</x:v>
      </x:c>
      <x:c r="AP83" s="1" t="s">
        <x:v>179</x:v>
      </x:c>
      <x:c r="AQ83" s="1" t="s">
        <x:v>129</x:v>
      </x:c>
      <x:c r="AR83" s="1" t="s">
        <x:v>123</x:v>
      </x:c>
      <x:c r="AS83" s="1" t="s">
        <x:v>128</x:v>
      </x:c>
      <x:c r="AT83" s="1" t="s">
        <x:v>174</x:v>
      </x:c>
      <x:c r="AU83" s="1" t="s">
        <x:v>123</x:v>
      </x:c>
      <x:c r="AV83" s="1" t="s">
        <x:v>114</x:v>
      </x:c>
      <x:c r="AW83" s="1" t="s">
        <x:v>147</x:v>
      </x:c>
      <x:c r="AX83" s="1" t="s">
        <x:v>137</x:v>
      </x:c>
      <x:c r="AY83" s="1" t="s">
        <x:v>138</x:v>
      </x:c>
      <x:c r="AZ83" s="1" t="s">
        <x:v>139</x:v>
      </x:c>
      <x:c r="BA83" s="1" t="s">
        <x:v>141</x:v>
      </x:c>
      <x:c r="BB83" s="1" t="s">
        <x:v>162</x:v>
      </x:c>
      <x:c r="BC83" s="1" t="s">
        <x:v>190</x:v>
      </x:c>
      <x:c r="BD83" s="1" t="s">
        <x:v>178</x:v>
      </x:c>
      <x:c r="BE83" s="11" t="n">
        <x:f>ROUND((((B83*2+C83+D83+E83+F83*2+G83+H83+I83)/10)+((J83*2+K83+L83+M83+N83*2+O83+P83+Q83)/10)*2)/3,2)</x:f>
        <x:v>7.2</x:v>
      </x:c>
      <x:c r="BF83" s="11" t="n">
        <x:f>ROUND((((R83*2+S83+T83+U83+V83*2+W83+X83+Y83)/10)+((Z83*2+AA83+AB83+AC83+AD83*2+AE83+AF83+AG83)/10)*2)/3,2)</x:f>
        <x:v>7.12</x:v>
      </x:c>
      <x:c r="BG83" s="11" t="n">
        <x:f>ROUND((((AH83*2+AI83+AJ83+AK83+AL83*2+AM83+AN83+AO83)/10)+((AP83*2+AQ83+AR83+AS83+AT83*2+AU83+AV83+AW83)/10)*2)/3,2)</x:f>
        <x:v>7.2</x:v>
      </x:c>
      <x:c r="BH83" s="13" t="str">
        <x:f>IF(BE83&lt;5,"Y",IF(BE83&lt;6.5,"TB",IF(BE83&lt;8,"K",IF(BE83&lt;9,"G","XS"))))</x:f>
        <x:v>K</x:v>
      </x:c>
      <x:c r="BI83" s="13" t="str">
        <x:f>IF(BF83&lt;5,"Y",IF(BF83&lt;6.5,"TB",IF(BF83&lt;8,"K",IF(BF83&lt;9,"G","XS"))))</x:f>
        <x:v>K</x:v>
      </x:c>
      <x:c r="BJ83" s="13" t="str">
        <x:f>IF(BG83&lt;5,"Y",IF(BG83&lt;6.5,"TB",IF(BG83&lt;8,"K",IF(BG83&lt;9,"G","XS"))))</x:f>
        <x:v>K</x:v>
      </x:c>
      <x:c r="BK83" s="11" t="n">
        <x:f>ROUND((BE83/10)*4,2)</x:f>
        <x:v>2.88</x:v>
      </x:c>
      <x:c r="BL83" s="11" t="n">
        <x:f>ROUND((BF83/10)*4,2)</x:f>
        <x:v>2.85</x:v>
      </x:c>
      <x:c r="BM83" s="11" t="n">
        <x:f>ROUND((BG83/10)*4,2)</x:f>
        <x:v>2.88</x:v>
      </x:c>
      <x:c r="BN83" s="13" t="n">
        <x:f>IF(IF(OR(BD83="A",BD83="A1"),(BA83*2+BB83+BC83)/4,IF(BD83="B",(BA83+BB83*2+BC83)/4,(BA83+BB83+BC83)/3))&gt;=5,1,0)</x:f>
        <x:v>0</x:v>
      </x:c>
    </x:row>
    <x:row r="84">
      <x:c r="A84" s="1" t="s">
        <x:v>283</x:v>
      </x:c>
      <x:c r="B84" s="1" t="s">
        <x:v>133</x:v>
      </x:c>
      <x:c r="C84" s="1" t="s">
        <x:v>134</x:v>
      </x:c>
      <x:c r="D84" s="1" t="s">
        <x:v>150</x:v>
      </x:c>
      <x:c r="E84" s="1" t="s">
        <x:v>133</x:v>
      </x:c>
      <x:c r="F84" s="1" t="s">
        <x:v>150</x:v>
      </x:c>
      <x:c r="G84" s="1" t="s">
        <x:v>118</x:v>
      </x:c>
      <x:c r="H84" s="1" t="s">
        <x:v>126</x:v>
      </x:c>
      <x:c r="I84" s="1" t="s">
        <x:v>195</x:v>
      </x:c>
      <x:c r="J84" s="1" t="s">
        <x:v>145</x:v>
      </x:c>
      <x:c r="K84" s="1" t="s">
        <x:v>130</x:v>
      </x:c>
      <x:c r="L84" s="1" t="s">
        <x:v>150</x:v>
      </x:c>
      <x:c r="M84" s="1" t="s">
        <x:v>147</x:v>
      </x:c>
      <x:c r="N84" s="1" t="s">
        <x:v>170</x:v>
      </x:c>
      <x:c r="O84" s="1" t="s">
        <x:v>161</x:v>
      </x:c>
      <x:c r="P84" s="1" t="s">
        <x:v>158</x:v>
      </x:c>
      <x:c r="Q84" s="1" t="s">
        <x:v>150</x:v>
      </x:c>
      <x:c r="R84" s="1" t="s">
        <x:v>133</x:v>
      </x:c>
      <x:c r="S84" s="1" t="s">
        <x:v>130</x:v>
      </x:c>
      <x:c r="T84" s="1" t="s">
        <x:v>141</x:v>
      </x:c>
      <x:c r="U84" s="1" t="s">
        <x:v>130</x:v>
      </x:c>
      <x:c r="V84" s="1" t="s">
        <x:v>170</x:v>
      </x:c>
      <x:c r="W84" s="1" t="s">
        <x:v>153</x:v>
      </x:c>
      <x:c r="X84" s="1" t="s">
        <x:v>115</x:v>
      </x:c>
      <x:c r="Y84" s="1" t="s">
        <x:v>126</x:v>
      </x:c>
      <x:c r="Z84" s="1" t="s">
        <x:v>158</x:v>
      </x:c>
      <x:c r="AA84" s="1" t="s">
        <x:v>154</x:v>
      </x:c>
      <x:c r="AB84" s="1" t="s">
        <x:v>150</x:v>
      </x:c>
      <x:c r="AC84" s="1" t="s">
        <x:v>132</x:v>
      </x:c>
      <x:c r="AD84" s="1" t="s">
        <x:v>134</x:v>
      </x:c>
      <x:c r="AE84" s="1" t="s">
        <x:v>147</x:v>
      </x:c>
      <x:c r="AF84" s="1" t="s">
        <x:v>155</x:v>
      </x:c>
      <x:c r="AG84" s="1" t="s">
        <x:v>144</x:v>
      </x:c>
      <x:c r="AH84" s="1" t="s">
        <x:v>164</x:v>
      </x:c>
      <x:c r="AI84" s="1" t="s">
        <x:v>132</x:v>
      </x:c>
      <x:c r="AJ84" s="1" t="s">
        <x:v>158</x:v>
      </x:c>
      <x:c r="AK84" s="1" t="s">
        <x:v>121</x:v>
      </x:c>
      <x:c r="AL84" s="1" t="s">
        <x:v>147</x:v>
      </x:c>
      <x:c r="AM84" s="1" t="s">
        <x:v>156</x:v>
      </x:c>
      <x:c r="AN84" s="1" t="s">
        <x:v>170</x:v>
      </x:c>
      <x:c r="AO84" s="1" t="s">
        <x:v>134</x:v>
      </x:c>
      <x:c r="AP84" s="1" t="s">
        <x:v>114</x:v>
      </x:c>
      <x:c r="AQ84" s="1" t="s">
        <x:v>165</x:v>
      </x:c>
      <x:c r="AR84" s="1" t="s">
        <x:v>134</x:v>
      </x:c>
      <x:c r="AS84" s="1" t="s">
        <x:v>168</x:v>
      </x:c>
      <x:c r="AT84" s="1" t="s">
        <x:v>166</x:v>
      </x:c>
      <x:c r="AU84" s="1" t="s">
        <x:v>144</x:v>
      </x:c>
      <x:c r="AV84" s="1" t="s">
        <x:v>144</x:v>
      </x:c>
      <x:c r="AW84" s="1" t="s">
        <x:v>135</x:v>
      </x:c>
      <x:c r="AX84" s="1" t="s">
        <x:v>160</x:v>
      </x:c>
      <x:c r="AY84" s="1" t="s">
        <x:v>138</x:v>
      </x:c>
      <x:c r="AZ84" s="1" t="s">
        <x:v>112</x:v>
      </x:c>
      <x:c r="BA84" s="1" t="s">
        <x:v>167</x:v>
      </x:c>
      <x:c r="BB84" s="1" t="s">
        <x:v>141</x:v>
      </x:c>
      <x:c r="BC84" s="1" t="s">
        <x:v>172</x:v>
      </x:c>
      <x:c r="BD84" s="1" t="s">
        <x:v>178</x:v>
      </x:c>
      <x:c r="BE84" s="11" t="n">
        <x:f>ROUND((((B84*2+C84+D84+E84+F84*2+G84+H84+I84)/10)+((J84*2+K84+L84+M84+N84*2+O84+P84+Q84)/10)*2)/3,2)</x:f>
        <x:v>4.94</x:v>
      </x:c>
      <x:c r="BF84" s="11" t="n">
        <x:f>ROUND((((R84*2+S84+T84+U84+V84*2+W84+X84+Y84)/10)+((Z84*2+AA84+AB84+AC84+AD84*2+AE84+AF84+AG84)/10)*2)/3,2)</x:f>
        <x:v>5.08</x:v>
      </x:c>
      <x:c r="BG84" s="11" t="n">
        <x:f>ROUND((((AH84*2+AI84+AJ84+AK84+AL84*2+AM84+AN84+AO84)/10)+((AP84*2+AQ84+AR84+AS84+AT84*2+AU84+AV84+AW84)/10)*2)/3,2)</x:f>
        <x:v>6.07</x:v>
      </x:c>
      <x:c r="BH84" s="13" t="str">
        <x:f>IF(BE84&lt;5,"Y",IF(BE84&lt;6.5,"TB",IF(BE84&lt;8,"K",IF(BE84&lt;9,"G","XS"))))</x:f>
        <x:v>Y</x:v>
      </x:c>
      <x:c r="BI84" s="13" t="str">
        <x:f>IF(BF84&lt;5,"Y",IF(BF84&lt;6.5,"TB",IF(BF84&lt;8,"K",IF(BF84&lt;9,"G","XS"))))</x:f>
        <x:v>TB</x:v>
      </x:c>
      <x:c r="BJ84" s="13" t="str">
        <x:f>IF(BG84&lt;5,"Y",IF(BG84&lt;6.5,"TB",IF(BG84&lt;8,"K",IF(BG84&lt;9,"G","XS"))))</x:f>
        <x:v>TB</x:v>
      </x:c>
      <x:c r="BK84" s="11" t="n">
        <x:f>ROUND((BE84/10)*4,2)</x:f>
        <x:v>1.98</x:v>
      </x:c>
      <x:c r="BL84" s="11" t="n">
        <x:f>ROUND((BF84/10)*4,2)</x:f>
        <x:v>2.03</x:v>
      </x:c>
      <x:c r="BM84" s="11" t="n">
        <x:f>ROUND((BG84/10)*4,2)</x:f>
        <x:v>2.43</x:v>
      </x:c>
      <x:c r="BN84" s="13" t="n">
        <x:f>IF(IF(OR(BD84="A",BD84="A1"),(BA84*2+BB84+BC84)/4,IF(BD84="B",(BA84+BB84*2+BC84)/4,(BA84+BB84+BC84)/3))&gt;=5,1,0)</x:f>
        <x:v>0</x:v>
      </x:c>
    </x:row>
    <x:row r="85">
      <x:c r="A85" s="1" t="s">
        <x:v>284</x:v>
      </x:c>
      <x:c r="B85" s="1" t="s">
        <x:v>156</x:v>
      </x:c>
      <x:c r="C85" s="1" t="s">
        <x:v>130</x:v>
      </x:c>
      <x:c r="D85" s="1" t="s">
        <x:v>130</x:v>
      </x:c>
      <x:c r="E85" s="1" t="s">
        <x:v>141</x:v>
      </x:c>
      <x:c r="F85" s="1" t="s">
        <x:v>166</x:v>
      </x:c>
      <x:c r="G85" s="1" t="s">
        <x:v>147</x:v>
      </x:c>
      <x:c r="H85" s="1" t="s">
        <x:v>135</x:v>
      </x:c>
      <x:c r="I85" s="1" t="s">
        <x:v>150</x:v>
      </x:c>
      <x:c r="J85" s="1" t="s">
        <x:v>134</x:v>
      </x:c>
      <x:c r="K85" s="1" t="s">
        <x:v>132</x:v>
      </x:c>
      <x:c r="L85" s="1" t="s">
        <x:v>127</x:v>
      </x:c>
      <x:c r="M85" s="1" t="s">
        <x:v>254</x:v>
      </x:c>
      <x:c r="N85" s="1" t="s">
        <x:v>164</x:v>
      </x:c>
      <x:c r="O85" s="1" t="s">
        <x:v>116</x:v>
      </x:c>
      <x:c r="P85" s="1" t="s">
        <x:v>129</x:v>
      </x:c>
      <x:c r="Q85" s="1" t="s">
        <x:v>170</x:v>
      </x:c>
      <x:c r="R85" s="1" t="s">
        <x:v>125</x:v>
      </x:c>
      <x:c r="S85" s="1" t="s">
        <x:v>159</x:v>
      </x:c>
      <x:c r="T85" s="1" t="s">
        <x:v>129</x:v>
      </x:c>
      <x:c r="U85" s="1" t="s">
        <x:v>128</x:v>
      </x:c>
      <x:c r="V85" s="1" t="s">
        <x:v>135</x:v>
      </x:c>
      <x:c r="W85" s="1" t="s">
        <x:v>128</x:v>
      </x:c>
      <x:c r="X85" s="1" t="s">
        <x:v>136</x:v>
      </x:c>
      <x:c r="Y85" s="1" t="s">
        <x:v>144</x:v>
      </x:c>
      <x:c r="Z85" s="1" t="s">
        <x:v>161</x:v>
      </x:c>
      <x:c r="AA85" s="1" t="s">
        <x:v>128</x:v>
      </x:c>
      <x:c r="AB85" s="1" t="s">
        <x:v>132</x:v>
      </x:c>
      <x:c r="AC85" s="1" t="s">
        <x:v>184</x:v>
      </x:c>
      <x:c r="AD85" s="1" t="s">
        <x:v>159</x:v>
      </x:c>
      <x:c r="AE85" s="1" t="s">
        <x:v>116</x:v>
      </x:c>
      <x:c r="AF85" s="1" t="s">
        <x:v>128</x:v>
      </x:c>
      <x:c r="AG85" s="1" t="s">
        <x:v>147</x:v>
      </x:c>
      <x:c r="AH85" s="1" t="s">
        <x:v>164</x:v>
      </x:c>
      <x:c r="AI85" s="1" t="s">
        <x:v>130</x:v>
      </x:c>
      <x:c r="AJ85" s="1" t="s">
        <x:v>165</x:v>
      </x:c>
      <x:c r="AK85" s="1" t="s">
        <x:v>115</x:v>
      </x:c>
      <x:c r="AL85" s="1" t="s">
        <x:v>129</x:v>
      </x:c>
      <x:c r="AM85" s="1" t="s">
        <x:v>132</x:v>
      </x:c>
      <x:c r="AN85" s="1" t="s">
        <x:v>164</x:v>
      </x:c>
      <x:c r="AO85" s="1" t="s">
        <x:v>132</x:v>
      </x:c>
      <x:c r="AP85" s="1" t="s">
        <x:v>114</x:v>
      </x:c>
      <x:c r="AQ85" s="1" t="s">
        <x:v>144</x:v>
      </x:c>
      <x:c r="AR85" s="1" t="s">
        <x:v>181</x:v>
      </x:c>
      <x:c r="AS85" s="1" t="s">
        <x:v>165</x:v>
      </x:c>
      <x:c r="AT85" s="1" t="s">
        <x:v>125</x:v>
      </x:c>
      <x:c r="AU85" s="1" t="s">
        <x:v>114</x:v>
      </x:c>
      <x:c r="AV85" s="1" t="s">
        <x:v>165</x:v>
      </x:c>
      <x:c r="AW85" s="1" t="s">
        <x:v>115</x:v>
      </x:c>
      <x:c r="AX85" s="1" t="s">
        <x:v>137</x:v>
      </x:c>
      <x:c r="AY85" s="1" t="s">
        <x:v>138</x:v>
      </x:c>
      <x:c r="AZ85" s="1" t="s">
        <x:v>112</x:v>
      </x:c>
      <x:c r="BA85" s="1" t="s">
        <x:v>140</x:v>
      </x:c>
      <x:c r="BB85" s="1" t="s">
        <x:v>161</x:v>
      </x:c>
      <x:c r="BC85" s="1" t="s">
        <x:v>172</x:v>
      </x:c>
      <x:c r="BD85" s="1" t="s">
        <x:v>267</x:v>
      </x:c>
      <x:c r="BE85" s="11" t="n">
        <x:f>ROUND((((B85*2+C85+D85+E85+F85*2+G85+H85+I85)/10)+((J85*2+K85+L85+M85+N85*2+O85+P85+Q85)/10)*2)/3,2)</x:f>
        <x:v>6.18</x:v>
      </x:c>
      <x:c r="BF85" s="11" t="n">
        <x:f>ROUND((((R85*2+S85+T85+U85+V85*2+W85+X85+Y85)/10)+((Z85*2+AA85+AB85+AC85+AD85*2+AE85+AF85+AG85)/10)*2)/3,2)</x:f>
        <x:v>6.93</x:v>
      </x:c>
      <x:c r="BG85" s="11" t="n">
        <x:f>ROUND((((AH85*2+AI85+AJ85+AK85+AL85*2+AM85+AN85+AO85)/10)+((AP85*2+AQ85+AR85+AS85+AT85*2+AU85+AV85+AW85)/10)*2)/3,2)</x:f>
        <x:v>6.96</x:v>
      </x:c>
      <x:c r="BH85" s="13" t="str">
        <x:f>IF(BE85&lt;5,"Y",IF(BE85&lt;6.5,"TB",IF(BE85&lt;8,"K",IF(BE85&lt;9,"G","XS"))))</x:f>
        <x:v>TB</x:v>
      </x:c>
      <x:c r="BI85" s="13" t="str">
        <x:f>IF(BF85&lt;5,"Y",IF(BF85&lt;6.5,"TB",IF(BF85&lt;8,"K",IF(BF85&lt;9,"G","XS"))))</x:f>
        <x:v>K</x:v>
      </x:c>
      <x:c r="BJ85" s="13" t="str">
        <x:f>IF(BG85&lt;5,"Y",IF(BG85&lt;6.5,"TB",IF(BG85&lt;8,"K",IF(BG85&lt;9,"G","XS"))))</x:f>
        <x:v>K</x:v>
      </x:c>
      <x:c r="BK85" s="11" t="n">
        <x:f>ROUND((BE85/10)*4,2)</x:f>
        <x:v>2.47</x:v>
      </x:c>
      <x:c r="BL85" s="11" t="n">
        <x:f>ROUND((BF85/10)*4,2)</x:f>
        <x:v>2.77</x:v>
      </x:c>
      <x:c r="BM85" s="11" t="n">
        <x:f>ROUND((BG85/10)*4,2)</x:f>
        <x:v>2.78</x:v>
      </x:c>
      <x:c r="BN85" s="13" t="n">
        <x:f>IF(IF(OR(BD85="A",BD85="A1"),(BA85*2+BB85+BC85)/4,IF(BD85="B",(BA85+BB85*2+BC85)/4,(BA85+BB85+BC85)/3))&gt;=5,1,0)</x:f>
        <x:v>0</x:v>
      </x:c>
    </x:row>
    <x:row r="86">
      <x:c r="A86" s="1" t="s">
        <x:v>285</x:v>
      </x:c>
      <x:c r="B86" s="1" t="s">
        <x:v>130</x:v>
      </x:c>
      <x:c r="C86" s="1" t="s">
        <x:v>133</x:v>
      </x:c>
      <x:c r="D86" s="1" t="s">
        <x:v>129</x:v>
      </x:c>
      <x:c r="E86" s="1" t="s">
        <x:v>159</x:v>
      </x:c>
      <x:c r="F86" s="1" t="s">
        <x:v>135</x:v>
      </x:c>
      <x:c r="G86" s="1" t="s">
        <x:v>177</x:v>
      </x:c>
      <x:c r="H86" s="1" t="s">
        <x:v>128</x:v>
      </x:c>
      <x:c r="I86" s="1" t="s">
        <x:v>151</x:v>
      </x:c>
      <x:c r="J86" s="1" t="s">
        <x:v>125</x:v>
      </x:c>
      <x:c r="K86" s="1" t="s">
        <x:v>129</x:v>
      </x:c>
      <x:c r="L86" s="1" t="s">
        <x:v>131</x:v>
      </x:c>
      <x:c r="M86" s="1" t="s">
        <x:v>136</x:v>
      </x:c>
      <x:c r="N86" s="1" t="s">
        <x:v>113</x:v>
      </x:c>
      <x:c r="O86" s="1" t="s">
        <x:v>179</x:v>
      </x:c>
      <x:c r="P86" s="1" t="s">
        <x:v>113</x:v>
      </x:c>
      <x:c r="Q86" s="1" t="s">
        <x:v>156</x:v>
      </x:c>
      <x:c r="R86" s="1" t="s">
        <x:v>118</x:v>
      </x:c>
      <x:c r="S86" s="1" t="s">
        <x:v>168</x:v>
      </x:c>
      <x:c r="T86" s="1" t="s">
        <x:v>127</x:v>
      </x:c>
      <x:c r="U86" s="1" t="s">
        <x:v>127</x:v>
      </x:c>
      <x:c r="V86" s="1" t="s">
        <x:v>127</x:v>
      </x:c>
      <x:c r="W86" s="1" t="s">
        <x:v>286</x:v>
      </x:c>
      <x:c r="X86" s="1" t="s">
        <x:v>166</x:v>
      </x:c>
      <x:c r="Y86" s="1" t="s">
        <x:v>168</x:v>
      </x:c>
      <x:c r="Z86" s="1" t="s">
        <x:v>116</x:v>
      </x:c>
      <x:c r="AA86" s="1" t="s">
        <x:v>127</x:v>
      </x:c>
      <x:c r="AB86" s="1" t="s">
        <x:v>135</x:v>
      </x:c>
      <x:c r="AC86" s="1" t="s">
        <x:v>181</x:v>
      </x:c>
      <x:c r="AD86" s="1" t="s">
        <x:v>129</x:v>
      </x:c>
      <x:c r="AE86" s="1" t="s">
        <x:v>182</x:v>
      </x:c>
      <x:c r="AF86" s="1" t="s">
        <x:v>117</x:v>
      </x:c>
      <x:c r="AG86" s="1" t="s">
        <x:v>132</x:v>
      </x:c>
      <x:c r="AH86" s="1" t="s">
        <x:v>118</x:v>
      </x:c>
      <x:c r="AI86" s="1" t="s">
        <x:v>115</x:v>
      </x:c>
      <x:c r="AJ86" s="1" t="s">
        <x:v>129</x:v>
      </x:c>
      <x:c r="AK86" s="1" t="s">
        <x:v>136</x:v>
      </x:c>
      <x:c r="AL86" s="1" t="s">
        <x:v>166</x:v>
      </x:c>
      <x:c r="AM86" s="1" t="s">
        <x:v>181</x:v>
      </x:c>
      <x:c r="AN86" s="1" t="s">
        <x:v>165</x:v>
      </x:c>
      <x:c r="AO86" s="1" t="s">
        <x:v>135</x:v>
      </x:c>
      <x:c r="AP86" s="1" t="s">
        <x:v>185</x:v>
      </x:c>
      <x:c r="AQ86" s="1" t="s">
        <x:v>165</x:v>
      </x:c>
      <x:c r="AR86" s="1" t="s">
        <x:v>113</x:v>
      </x:c>
      <x:c r="AS86" s="1" t="s">
        <x:v>114</x:v>
      </x:c>
      <x:c r="AT86" s="1" t="s">
        <x:v>164</x:v>
      </x:c>
      <x:c r="AU86" s="1" t="s">
        <x:v>180</x:v>
      </x:c>
      <x:c r="AV86" s="1" t="s">
        <x:v>114</x:v>
      </x:c>
      <x:c r="AW86" s="1" t="s">
        <x:v>121</x:v>
      </x:c>
      <x:c r="AX86" s="1" t="s">
        <x:v>137</x:v>
      </x:c>
      <x:c r="AY86" s="1" t="s">
        <x:v>138</x:v>
      </x:c>
      <x:c r="AZ86" s="1" t="s">
        <x:v>112</x:v>
      </x:c>
      <x:c r="BA86" s="1" t="s">
        <x:v>287</x:v>
      </x:c>
      <x:c r="BB86" s="1" t="s">
        <x:v>190</x:v>
      </x:c>
      <x:c r="BC86" s="1" t="s">
        <x:v>161</x:v>
      </x:c>
      <x:c r="BD86" s="1" t="s">
        <x:v>267</x:v>
      </x:c>
      <x:c r="BE86" s="11" t="n">
        <x:f>ROUND((((B86*2+C86+D86+E86+F86*2+G86+H86+I86)/10)+((J86*2+K86+L86+M86+N86*2+O86+P86+Q86)/10)*2)/3,2)</x:f>
        <x:v>6.9</x:v>
      </x:c>
      <x:c r="BF86" s="11" t="n">
        <x:f>ROUND((((R86*2+S86+T86+U86+V86*2+W86+X86+Y86)/10)+((Z86*2+AA86+AB86+AC86+AD86*2+AE86+AF86+AG86)/10)*2)/3,2)</x:f>
        <x:v>7.09</x:v>
      </x:c>
      <x:c r="BG86" s="11" t="n">
        <x:f>ROUND((((AH86*2+AI86+AJ86+AK86+AL86*2+AM86+AN86+AO86)/10)+((AP86*2+AQ86+AR86+AS86+AT86*2+AU86+AV86+AW86)/10)*2)/3,2)</x:f>
        <x:v>7.19</x:v>
      </x:c>
      <x:c r="BH86" s="13" t="str">
        <x:f>IF(BE86&lt;5,"Y",IF(BE86&lt;6.5,"TB",IF(BE86&lt;8,"K",IF(BE86&lt;9,"G","XS"))))</x:f>
        <x:v>K</x:v>
      </x:c>
      <x:c r="BI86" s="13" t="str">
        <x:f>IF(BF86&lt;5,"Y",IF(BF86&lt;6.5,"TB",IF(BF86&lt;8,"K",IF(BF86&lt;9,"G","XS"))))</x:f>
        <x:v>K</x:v>
      </x:c>
      <x:c r="BJ86" s="13" t="str">
        <x:f>IF(BG86&lt;5,"Y",IF(BG86&lt;6.5,"TB",IF(BG86&lt;8,"K",IF(BG86&lt;9,"G","XS"))))</x:f>
        <x:v>K</x:v>
      </x:c>
      <x:c r="BK86" s="11" t="n">
        <x:f>ROUND((BE86/10)*4,2)</x:f>
        <x:v>2.76</x:v>
      </x:c>
      <x:c r="BL86" s="11" t="n">
        <x:f>ROUND((BF86/10)*4,2)</x:f>
        <x:v>2.84</x:v>
      </x:c>
      <x:c r="BM86" s="11" t="n">
        <x:f>ROUND((BG86/10)*4,2)</x:f>
        <x:v>2.88</x:v>
      </x:c>
      <x:c r="BN86" s="13" t="n">
        <x:f>IF(IF(OR(BD86="A",BD86="A1"),(BA86*2+BB86+BC86)/4,IF(BD86="B",(BA86+BB86*2+BC86)/4,(BA86+BB86+BC86)/3))&gt;=5,1,0)</x:f>
        <x:v>0</x:v>
      </x:c>
    </x:row>
    <x:row r="87">
      <x:c r="A87" s="1" t="s">
        <x:v>288</x:v>
      </x:c>
      <x:c r="B87" s="1" t="s">
        <x:v>119</x:v>
      </x:c>
      <x:c r="C87" s="1" t="s">
        <x:v>125</x:v>
      </x:c>
      <x:c r="D87" s="1" t="s">
        <x:v>161</x:v>
      </x:c>
      <x:c r="E87" s="1" t="s">
        <x:v>181</x:v>
      </x:c>
      <x:c r="F87" s="1" t="s">
        <x:v>115</x:v>
      </x:c>
      <x:c r="G87" s="1" t="s">
        <x:v>113</x:v>
      </x:c>
      <x:c r="H87" s="1" t="s">
        <x:v>184</x:v>
      </x:c>
      <x:c r="I87" s="1" t="s">
        <x:v>161</x:v>
      </x:c>
      <x:c r="J87" s="1" t="s">
        <x:v>179</x:v>
      </x:c>
      <x:c r="K87" s="1" t="s">
        <x:v>116</x:v>
      </x:c>
      <x:c r="L87" s="1" t="s">
        <x:v>184</x:v>
      </x:c>
      <x:c r="M87" s="1" t="s">
        <x:v>186</x:v>
      </x:c>
      <x:c r="N87" s="1" t="s">
        <x:v>127</x:v>
      </x:c>
      <x:c r="O87" s="1" t="s">
        <x:v>127</x:v>
      </x:c>
      <x:c r="P87" s="1" t="s">
        <x:v>114</x:v>
      </x:c>
      <x:c r="Q87" s="1" t="s">
        <x:v>164</x:v>
      </x:c>
      <x:c r="R87" s="1" t="s">
        <x:v>125</x:v>
      </x:c>
      <x:c r="S87" s="1" t="s">
        <x:v>116</x:v>
      </x:c>
      <x:c r="T87" s="1" t="s">
        <x:v>177</x:v>
      </x:c>
      <x:c r="U87" s="1" t="s">
        <x:v>165</x:v>
      </x:c>
      <x:c r="V87" s="1" t="s">
        <x:v>129</x:v>
      </x:c>
      <x:c r="W87" s="1" t="s">
        <x:v>159</x:v>
      </x:c>
      <x:c r="X87" s="1" t="s">
        <x:v>119</x:v>
      </x:c>
      <x:c r="Y87" s="1" t="s">
        <x:v>121</x:v>
      </x:c>
      <x:c r="Z87" s="1" t="s">
        <x:v>174</x:v>
      </x:c>
      <x:c r="AA87" s="1" t="s">
        <x:v>159</x:v>
      </x:c>
      <x:c r="AB87" s="1" t="s">
        <x:v>185</x:v>
      </x:c>
      <x:c r="AC87" s="1" t="s">
        <x:v>165</x:v>
      </x:c>
      <x:c r="AD87" s="1" t="s">
        <x:v>165</x:v>
      </x:c>
      <x:c r="AE87" s="1" t="s">
        <x:v>132</x:v>
      </x:c>
      <x:c r="AF87" s="1" t="s">
        <x:v>128</x:v>
      </x:c>
      <x:c r="AG87" s="1" t="s">
        <x:v>135</x:v>
      </x:c>
      <x:c r="AH87" s="1" t="s">
        <x:v>185</x:v>
      </x:c>
      <x:c r="AI87" s="1" t="s">
        <x:v>130</x:v>
      </x:c>
      <x:c r="AJ87" s="1" t="s">
        <x:v>117</x:v>
      </x:c>
      <x:c r="AK87" s="1" t="s">
        <x:v>176</x:v>
      </x:c>
      <x:c r="AL87" s="1" t="s">
        <x:v>132</x:v>
      </x:c>
      <x:c r="AM87" s="1" t="s">
        <x:v>156</x:v>
      </x:c>
      <x:c r="AN87" s="1" t="s">
        <x:v>113</x:v>
      </x:c>
      <x:c r="AO87" s="1" t="s">
        <x:v>132</x:v>
      </x:c>
      <x:c r="AP87" s="1" t="s">
        <x:v>176</x:v>
      </x:c>
      <x:c r="AQ87" s="1" t="s">
        <x:v>181</x:v>
      </x:c>
      <x:c r="AR87" s="1" t="s">
        <x:v>120</x:v>
      </x:c>
      <x:c r="AS87" s="1" t="s">
        <x:v>184</x:v>
      </x:c>
      <x:c r="AT87" s="1" t="s">
        <x:v>159</x:v>
      </x:c>
      <x:c r="AU87" s="1" t="s">
        <x:v>118</x:v>
      </x:c>
      <x:c r="AV87" s="1" t="s">
        <x:v>117</x:v>
      </x:c>
      <x:c r="AW87" s="1" t="s">
        <x:v>123</x:v>
      </x:c>
      <x:c r="AX87" s="1" t="s">
        <x:v>160</x:v>
      </x:c>
      <x:c r="AY87" s="1" t="s">
        <x:v>138</x:v>
      </x:c>
      <x:c r="AZ87" s="1" t="s">
        <x:v>112</x:v>
      </x:c>
      <x:c r="BA87" s="1" t="s">
        <x:v>135</x:v>
      </x:c>
      <x:c r="BB87" s="1" t="s">
        <x:v>141</x:v>
      </x:c>
      <x:c r="BC87" s="1" t="s">
        <x:v>177</x:v>
      </x:c>
      <x:c r="BD87" s="1" t="s">
        <x:v>178</x:v>
      </x:c>
      <x:c r="BE87" s="11" t="n">
        <x:f>ROUND((((B87*2+C87+D87+E87+F87*2+G87+H87+I87)/10)+((J87*2+K87+L87+M87+N87*2+O87+P87+Q87)/10)*2)/3,2)</x:f>
        <x:v>7.59</x:v>
      </x:c>
      <x:c r="BF87" s="11" t="n">
        <x:f>ROUND((((R87*2+S87+T87+U87+V87*2+W87+X87+Y87)/10)+((Z87*2+AA87+AB87+AC87+AD87*2+AE87+AF87+AG87)/10)*2)/3,2)</x:f>
        <x:v>7.31</x:v>
      </x:c>
      <x:c r="BG87" s="11" t="n">
        <x:f>ROUND((((AH87*2+AI87+AJ87+AK87+AL87*2+AM87+AN87+AO87)/10)+((AP87*2+AQ87+AR87+AS87+AT87*2+AU87+AV87+AW87)/10)*2)/3,2)</x:f>
        <x:v>7.37</x:v>
      </x:c>
      <x:c r="BH87" s="13" t="str">
        <x:f>IF(BE87&lt;5,"Y",IF(BE87&lt;6.5,"TB",IF(BE87&lt;8,"K",IF(BE87&lt;9,"G","XS"))))</x:f>
        <x:v>K</x:v>
      </x:c>
      <x:c r="BI87" s="13" t="str">
        <x:f>IF(BF87&lt;5,"Y",IF(BF87&lt;6.5,"TB",IF(BF87&lt;8,"K",IF(BF87&lt;9,"G","XS"))))</x:f>
        <x:v>K</x:v>
      </x:c>
      <x:c r="BJ87" s="13" t="str">
        <x:f>IF(BG87&lt;5,"Y",IF(BG87&lt;6.5,"TB",IF(BG87&lt;8,"K",IF(BG87&lt;9,"G","XS"))))</x:f>
        <x:v>K</x:v>
      </x:c>
      <x:c r="BK87" s="11" t="n">
        <x:f>ROUND((BE87/10)*4,2)</x:f>
        <x:v>3.04</x:v>
      </x:c>
      <x:c r="BL87" s="11" t="n">
        <x:f>ROUND((BF87/10)*4,2)</x:f>
        <x:v>2.92</x:v>
      </x:c>
      <x:c r="BM87" s="11" t="n">
        <x:f>ROUND((BG87/10)*4,2)</x:f>
        <x:v>2.95</x:v>
      </x:c>
      <x:c r="BN87" s="13" t="n">
        <x:f>IF(IF(OR(BD87="A",BD87="A1"),(BA87*2+BB87+BC87)/4,IF(BD87="B",(BA87+BB87*2+BC87)/4,(BA87+BB87+BC87)/3))&gt;=5,1,0)</x:f>
        <x:v>1</x:v>
      </x:c>
    </x:row>
    <x:row r="88">
      <x:c r="A88" s="1" t="s">
        <x:v>289</x:v>
      </x:c>
      <x:c r="B88" s="1" t="s">
        <x:v>113</x:v>
      </x:c>
      <x:c r="C88" s="1" t="s">
        <x:v>123</x:v>
      </x:c>
      <x:c r="D88" s="1" t="s">
        <x:v>164</x:v>
      </x:c>
      <x:c r="E88" s="1" t="s">
        <x:v>159</x:v>
      </x:c>
      <x:c r="F88" s="1" t="s">
        <x:v>129</x:v>
      </x:c>
      <x:c r="G88" s="1" t="s">
        <x:v>168</x:v>
      </x:c>
      <x:c r="H88" s="1" t="s">
        <x:v>113</x:v>
      </x:c>
      <x:c r="I88" s="1" t="s">
        <x:v>161</x:v>
      </x:c>
      <x:c r="J88" s="1" t="s">
        <x:v>117</x:v>
      </x:c>
      <x:c r="K88" s="1" t="s">
        <x:v>128</x:v>
      </x:c>
      <x:c r="L88" s="1" t="s">
        <x:v>123</x:v>
      </x:c>
      <x:c r="M88" s="1" t="s">
        <x:v>165</x:v>
      </x:c>
      <x:c r="N88" s="1" t="s">
        <x:v>181</x:v>
      </x:c>
      <x:c r="O88" s="1" t="s">
        <x:v>125</x:v>
      </x:c>
      <x:c r="P88" s="1" t="s">
        <x:v>136</x:v>
      </x:c>
      <x:c r="Q88" s="1" t="s">
        <x:v>129</x:v>
      </x:c>
      <x:c r="R88" s="1" t="s">
        <x:v>114</x:v>
      </x:c>
      <x:c r="S88" s="1" t="s">
        <x:v>164</x:v>
      </x:c>
      <x:c r="T88" s="1" t="s">
        <x:v>133</x:v>
      </x:c>
      <x:c r="U88" s="1" t="s">
        <x:v>136</x:v>
      </x:c>
      <x:c r="V88" s="1" t="s">
        <x:v>123</x:v>
      </x:c>
      <x:c r="W88" s="1" t="s">
        <x:v>119</x:v>
      </x:c>
      <x:c r="X88" s="1" t="s">
        <x:v>125</x:v>
      </x:c>
      <x:c r="Y88" s="1" t="s">
        <x:v>156</x:v>
      </x:c>
      <x:c r="Z88" s="1" t="s">
        <x:v>119</x:v>
      </x:c>
      <x:c r="AA88" s="1" t="s">
        <x:v>128</x:v>
      </x:c>
      <x:c r="AB88" s="1" t="s">
        <x:v>168</x:v>
      </x:c>
      <x:c r="AC88" s="1" t="s">
        <x:v>186</x:v>
      </x:c>
      <x:c r="AD88" s="1" t="s">
        <x:v>115</x:v>
      </x:c>
      <x:c r="AE88" s="1" t="s">
        <x:v>175</x:v>
      </x:c>
      <x:c r="AF88" s="1" t="s">
        <x:v>174</x:v>
      </x:c>
      <x:c r="AG88" s="1" t="s">
        <x:v>135</x:v>
      </x:c>
      <x:c r="AH88" s="1" t="s">
        <x:v>181</x:v>
      </x:c>
      <x:c r="AI88" s="1" t="s">
        <x:v>129</x:v>
      </x:c>
      <x:c r="AJ88" s="1" t="s">
        <x:v>184</x:v>
      </x:c>
      <x:c r="AK88" s="1" t="s">
        <x:v>135</x:v>
      </x:c>
      <x:c r="AL88" s="1" t="s">
        <x:v>114</x:v>
      </x:c>
      <x:c r="AM88" s="1" t="s">
        <x:v>116</x:v>
      </x:c>
      <x:c r="AN88" s="1" t="s">
        <x:v>181</x:v>
      </x:c>
      <x:c r="AO88" s="1" t="s">
        <x:v>126</x:v>
      </x:c>
      <x:c r="AP88" s="1" t="s">
        <x:v>127</x:v>
      </x:c>
      <x:c r="AQ88" s="1" t="s">
        <x:v>127</x:v>
      </x:c>
      <x:c r="AR88" s="1" t="s">
        <x:v>129</x:v>
      </x:c>
      <x:c r="AS88" s="1" t="s">
        <x:v>114</x:v>
      </x:c>
      <x:c r="AT88" s="1" t="s">
        <x:v>116</x:v>
      </x:c>
      <x:c r="AU88" s="1" t="s">
        <x:v>128</x:v>
      </x:c>
      <x:c r="AV88" s="1" t="s">
        <x:v>168</x:v>
      </x:c>
      <x:c r="AW88" s="1" t="s">
        <x:v>161</x:v>
      </x:c>
      <x:c r="AX88" s="1" t="s">
        <x:v>137</x:v>
      </x:c>
      <x:c r="AY88" s="1" t="s">
        <x:v>138</x:v>
      </x:c>
      <x:c r="AZ88" s="1" t="s">
        <x:v>139</x:v>
      </x:c>
      <x:c r="BA88" s="1" t="s">
        <x:v>188</x:v>
      </x:c>
      <x:c r="BB88" s="1" t="s">
        <x:v>236</x:v>
      </x:c>
      <x:c r="BC88" s="1" t="s">
        <x:v>190</x:v>
      </x:c>
      <x:c r="BD88" s="1" t="s">
        <x:v>267</x:v>
      </x:c>
      <x:c r="BE88" s="11" t="n">
        <x:f>ROUND((((B88*2+C88+D88+E88+F88*2+G88+H88+I88)/10)+((J88*2+K88+L88+M88+N88*2+O88+P88+Q88)/10)*2)/3,2)</x:f>
        <x:v>7.32</x:v>
      </x:c>
      <x:c r="BF88" s="11" t="n">
        <x:f>ROUND((((R88*2+S88+T88+U88+V88*2+W88+X88+Y88)/10)+((Z88*2+AA88+AB88+AC88+AD88*2+AE88+AF88+AG88)/10)*2)/3,2)</x:f>
        <x:v>7.31</x:v>
      </x:c>
      <x:c r="BG88" s="11" t="n">
        <x:f>ROUND((((AH88*2+AI88+AJ88+AK88+AL88*2+AM88+AN88+AO88)/10)+((AP88*2+AQ88+AR88+AS88+AT88*2+AU88+AV88+AW88)/10)*2)/3,2)</x:f>
        <x:v>7.05</x:v>
      </x:c>
      <x:c r="BH88" s="13" t="str">
        <x:f>IF(BE88&lt;5,"Y",IF(BE88&lt;6.5,"TB",IF(BE88&lt;8,"K",IF(BE88&lt;9,"G","XS"))))</x:f>
        <x:v>K</x:v>
      </x:c>
      <x:c r="BI88" s="13" t="str">
        <x:f>IF(BF88&lt;5,"Y",IF(BF88&lt;6.5,"TB",IF(BF88&lt;8,"K",IF(BF88&lt;9,"G","XS"))))</x:f>
        <x:v>K</x:v>
      </x:c>
      <x:c r="BJ88" s="13" t="str">
        <x:f>IF(BG88&lt;5,"Y",IF(BG88&lt;6.5,"TB",IF(BG88&lt;8,"K",IF(BG88&lt;9,"G","XS"))))</x:f>
        <x:v>K</x:v>
      </x:c>
      <x:c r="BK88" s="11" t="n">
        <x:f>ROUND((BE88/10)*4,2)</x:f>
        <x:v>2.93</x:v>
      </x:c>
      <x:c r="BL88" s="11" t="n">
        <x:f>ROUND((BF88/10)*4,2)</x:f>
        <x:v>2.92</x:v>
      </x:c>
      <x:c r="BM88" s="11" t="n">
        <x:f>ROUND((BG88/10)*4,2)</x:f>
        <x:v>2.82</x:v>
      </x:c>
      <x:c r="BN88" s="13" t="n">
        <x:f>IF(IF(OR(BD88="A",BD88="A1"),(BA88*2+BB88+BC88)/4,IF(BD88="B",(BA88+BB88*2+BC88)/4,(BA88+BB88+BC88)/3))&gt;=5,1,0)</x:f>
        <x:v>1</x:v>
      </x:c>
    </x:row>
    <x:row r="89">
      <x:c r="A89" s="1" t="s">
        <x:v>290</x:v>
      </x:c>
      <x:c r="B89" s="1" t="s">
        <x:v>115</x:v>
      </x:c>
      <x:c r="C89" s="1" t="s">
        <x:v>135</x:v>
      </x:c>
      <x:c r="D89" s="1" t="s">
        <x:v>128</x:v>
      </x:c>
      <x:c r="E89" s="1" t="s">
        <x:v>174</x:v>
      </x:c>
      <x:c r="F89" s="1" t="s">
        <x:v>159</x:v>
      </x:c>
      <x:c r="G89" s="1" t="s">
        <x:v>144</x:v>
      </x:c>
      <x:c r="H89" s="1" t="s">
        <x:v>116</x:v>
      </x:c>
      <x:c r="I89" s="1" t="s">
        <x:v>144</x:v>
      </x:c>
      <x:c r="J89" s="1" t="s">
        <x:v>115</x:v>
      </x:c>
      <x:c r="K89" s="1" t="s">
        <x:v>159</x:v>
      </x:c>
      <x:c r="L89" s="1" t="s">
        <x:v>127</x:v>
      </x:c>
      <x:c r="M89" s="1" t="s">
        <x:v>125</x:v>
      </x:c>
      <x:c r="N89" s="1" t="s">
        <x:v>123</x:v>
      </x:c>
      <x:c r="O89" s="1" t="s">
        <x:v>131</x:v>
      </x:c>
      <x:c r="P89" s="1" t="s">
        <x:v>129</x:v>
      </x:c>
      <x:c r="Q89" s="1" t="s">
        <x:v>133</x:v>
      </x:c>
      <x:c r="R89" s="1" t="s">
        <x:v>126</x:v>
      </x:c>
      <x:c r="S89" s="1" t="s">
        <x:v>174</x:v>
      </x:c>
      <x:c r="T89" s="1" t="s">
        <x:v>161</x:v>
      </x:c>
      <x:c r="U89" s="1" t="s">
        <x:v>181</x:v>
      </x:c>
      <x:c r="V89" s="1" t="s">
        <x:v>136</x:v>
      </x:c>
      <x:c r="W89" s="1" t="s">
        <x:v>121</x:v>
      </x:c>
      <x:c r="X89" s="1" t="s">
        <x:v>166</x:v>
      </x:c>
      <x:c r="Y89" s="1" t="s">
        <x:v>131</x:v>
      </x:c>
      <x:c r="Z89" s="1" t="s">
        <x:v>132</x:v>
      </x:c>
      <x:c r="AA89" s="1" t="s">
        <x:v>116</x:v>
      </x:c>
      <x:c r="AB89" s="1" t="s">
        <x:v>113</x:v>
      </x:c>
      <x:c r="AC89" s="1" t="s">
        <x:v>113</x:v>
      </x:c>
      <x:c r="AD89" s="1" t="s">
        <x:v>114</x:v>
      </x:c>
      <x:c r="AE89" s="1" t="s">
        <x:v>161</x:v>
      </x:c>
      <x:c r="AF89" s="1" t="s">
        <x:v>129</x:v>
      </x:c>
      <x:c r="AG89" s="1" t="s">
        <x:v>118</x:v>
      </x:c>
      <x:c r="AH89" s="1" t="s">
        <x:v>161</x:v>
      </x:c>
      <x:c r="AI89" s="1" t="s">
        <x:v>114</x:v>
      </x:c>
      <x:c r="AJ89" s="1" t="s">
        <x:v>177</x:v>
      </x:c>
      <x:c r="AK89" s="1" t="s">
        <x:v>121</x:v>
      </x:c>
      <x:c r="AL89" s="1" t="s">
        <x:v>123</x:v>
      </x:c>
      <x:c r="AM89" s="1" t="s">
        <x:v>114</x:v>
      </x:c>
      <x:c r="AN89" s="1" t="s">
        <x:v>113</x:v>
      </x:c>
      <x:c r="AO89" s="1" t="s">
        <x:v>150</x:v>
      </x:c>
      <x:c r="AP89" s="1" t="s">
        <x:v>133</x:v>
      </x:c>
      <x:c r="AQ89" s="1" t="s">
        <x:v>117</x:v>
      </x:c>
      <x:c r="AR89" s="1" t="s">
        <x:v>127</x:v>
      </x:c>
      <x:c r="AS89" s="1" t="s">
        <x:v>161</x:v>
      </x:c>
      <x:c r="AT89" s="1" t="s">
        <x:v>125</x:v>
      </x:c>
      <x:c r="AU89" s="1" t="s">
        <x:v>127</x:v>
      </x:c>
      <x:c r="AV89" s="1" t="s">
        <x:v>123</x:v>
      </x:c>
      <x:c r="AW89" s="1" t="s">
        <x:v>126</x:v>
      </x:c>
      <x:c r="AX89" s="1" t="s">
        <x:v>160</x:v>
      </x:c>
      <x:c r="AY89" s="1" t="s">
        <x:v>138</x:v>
      </x:c>
      <x:c r="AZ89" s="1" t="s">
        <x:v>139</x:v>
      </x:c>
      <x:c r="BA89" s="1" t="s">
        <x:v>143</x:v>
      </x:c>
      <x:c r="BB89" s="1" t="s">
        <x:v>190</x:v>
      </x:c>
      <x:c r="BC89" s="1" t="s">
        <x:v>135</x:v>
      </x:c>
      <x:c r="BD89" s="1" t="s">
        <x:v>178</x:v>
      </x:c>
      <x:c r="BE89" s="11" t="n">
        <x:f>ROUND((((B89*2+C89+D89+E89+F89*2+G89+H89+I89)/10)+((J89*2+K89+L89+M89+N89*2+O89+P89+Q89)/10)*2)/3,2)</x:f>
        <x:v>6.55</x:v>
      </x:c>
      <x:c r="BF89" s="11" t="n">
        <x:f>ROUND((((R89*2+S89+T89+U89+V89*2+W89+X89+Y89)/10)+((Z89*2+AA89+AB89+AC89+AD89*2+AE89+AF89+AG89)/10)*2)/3,2)</x:f>
        <x:v>6.61</x:v>
      </x:c>
      <x:c r="BG89" s="11" t="n">
        <x:f>ROUND((((AH89*2+AI89+AJ89+AK89+AL89*2+AM89+AN89+AO89)/10)+((AP89*2+AQ89+AR89+AS89+AT89*2+AU89+AV89+AW89)/10)*2)/3,2)</x:f>
        <x:v>6.56</x:v>
      </x:c>
      <x:c r="BH89" s="13" t="str">
        <x:f>IF(BE89&lt;5,"Y",IF(BE89&lt;6.5,"TB",IF(BE89&lt;8,"K",IF(BE89&lt;9,"G","XS"))))</x:f>
        <x:v>K</x:v>
      </x:c>
      <x:c r="BI89" s="13" t="str">
        <x:f>IF(BF89&lt;5,"Y",IF(BF89&lt;6.5,"TB",IF(BF89&lt;8,"K",IF(BF89&lt;9,"G","XS"))))</x:f>
        <x:v>K</x:v>
      </x:c>
      <x:c r="BJ89" s="13" t="str">
        <x:f>IF(BG89&lt;5,"Y",IF(BG89&lt;6.5,"TB",IF(BG89&lt;8,"K",IF(BG89&lt;9,"G","XS"))))</x:f>
        <x:v>K</x:v>
      </x:c>
      <x:c r="BK89" s="11" t="n">
        <x:f>ROUND((BE89/10)*4,2)</x:f>
        <x:v>2.62</x:v>
      </x:c>
      <x:c r="BL89" s="11" t="n">
        <x:f>ROUND((BF89/10)*4,2)</x:f>
        <x:v>2.64</x:v>
      </x:c>
      <x:c r="BM89" s="11" t="n">
        <x:f>ROUND((BG89/10)*4,2)</x:f>
        <x:v>2.62</x:v>
      </x:c>
      <x:c r="BN89" s="13" t="n">
        <x:f>IF(IF(OR(BD89="A",BD89="A1"),(BA89*2+BB89+BC89)/4,IF(BD89="B",(BA89+BB89*2+BC89)/4,(BA89+BB89+BC89)/3))&gt;=5,1,0)</x:f>
        <x:v>0</x:v>
      </x:c>
    </x:row>
    <x:row r="90">
      <x:c r="A90" s="1" t="s">
        <x:v>291</x:v>
      </x:c>
      <x:c r="B90" s="1" t="s">
        <x:v>114</x:v>
      </x:c>
      <x:c r="C90" s="1" t="s">
        <x:v>151</x:v>
      </x:c>
      <x:c r="D90" s="1" t="s">
        <x:v>147</x:v>
      </x:c>
      <x:c r="E90" s="1" t="s">
        <x:v>121</x:v>
      </x:c>
      <x:c r="F90" s="1" t="s">
        <x:v>155</x:v>
      </x:c>
      <x:c r="G90" s="1" t="s">
        <x:v>153</x:v>
      </x:c>
      <x:c r="H90" s="1" t="s">
        <x:v>131</x:v>
      </x:c>
      <x:c r="I90" s="1" t="s">
        <x:v>147</x:v>
      </x:c>
      <x:c r="J90" s="1" t="s">
        <x:v>130</x:v>
      </x:c>
      <x:c r="K90" s="1" t="s">
        <x:v>161</x:v>
      </x:c>
      <x:c r="L90" s="1" t="s">
        <x:v>115</x:v>
      </x:c>
      <x:c r="M90" s="1" t="s">
        <x:v>130</x:v>
      </x:c>
      <x:c r="N90" s="1" t="s">
        <x:v>134</x:v>
      </x:c>
      <x:c r="O90" s="1" t="s">
        <x:v>123</x:v>
      </x:c>
      <x:c r="P90" s="1" t="s">
        <x:v>123</x:v>
      </x:c>
      <x:c r="Q90" s="1" t="s">
        <x:v>158</x:v>
      </x:c>
      <x:c r="R90" s="1" t="s">
        <x:v>129</x:v>
      </x:c>
      <x:c r="S90" s="1" t="s">
        <x:v>115</x:v>
      </x:c>
      <x:c r="T90" s="1" t="s">
        <x:v>114</x:v>
      </x:c>
      <x:c r="U90" s="1" t="s">
        <x:v>159</x:v>
      </x:c>
      <x:c r="V90" s="1" t="s">
        <x:v>135</x:v>
      </x:c>
      <x:c r="W90" s="1" t="s">
        <x:v>144</x:v>
      </x:c>
      <x:c r="X90" s="1" t="s">
        <x:v>159</x:v>
      </x:c>
      <x:c r="Y90" s="1" t="s">
        <x:v>118</x:v>
      </x:c>
      <x:c r="Z90" s="1" t="s">
        <x:v>174</x:v>
      </x:c>
      <x:c r="AA90" s="1" t="s">
        <x:v>144</x:v>
      </x:c>
      <x:c r="AB90" s="1" t="s">
        <x:v>165</x:v>
      </x:c>
      <x:c r="AC90" s="1" t="s">
        <x:v>129</x:v>
      </x:c>
      <x:c r="AD90" s="1" t="s">
        <x:v>164</x:v>
      </x:c>
      <x:c r="AE90" s="1" t="s">
        <x:v>121</x:v>
      </x:c>
      <x:c r="AF90" s="1" t="s">
        <x:v>164</x:v>
      </x:c>
      <x:c r="AG90" s="1" t="s">
        <x:v>135</x:v>
      </x:c>
      <x:c r="AH90" s="1" t="s">
        <x:v>117</x:v>
      </x:c>
      <x:c r="AI90" s="1" t="s">
        <x:v>130</x:v>
      </x:c>
      <x:c r="AJ90" s="1" t="s">
        <x:v>130</x:v>
      </x:c>
      <x:c r="AK90" s="1" t="s">
        <x:v>130</x:v>
      </x:c>
      <x:c r="AL90" s="1" t="s">
        <x:v>133</x:v>
      </x:c>
      <x:c r="AM90" s="1" t="s">
        <x:v>132</x:v>
      </x:c>
      <x:c r="AN90" s="1" t="s">
        <x:v>164</x:v>
      </x:c>
      <x:c r="AO90" s="1" t="s">
        <x:v>159</x:v>
      </x:c>
      <x:c r="AP90" s="1" t="s">
        <x:v>123</x:v>
      </x:c>
      <x:c r="AQ90" s="1" t="s">
        <x:v>168</x:v>
      </x:c>
      <x:c r="AR90" s="1" t="s">
        <x:v>127</x:v>
      </x:c>
      <x:c r="AS90" s="1" t="s">
        <x:v>133</x:v>
      </x:c>
      <x:c r="AT90" s="1" t="s">
        <x:v>168</x:v>
      </x:c>
      <x:c r="AU90" s="1" t="s">
        <x:v>168</x:v>
      </x:c>
      <x:c r="AV90" s="1" t="s">
        <x:v>113</x:v>
      </x:c>
      <x:c r="AW90" s="1" t="s">
        <x:v>166</x:v>
      </x:c>
      <x:c r="AX90" s="1" t="s">
        <x:v>160</x:v>
      </x:c>
      <x:c r="AY90" s="1" t="s">
        <x:v>138</x:v>
      </x:c>
      <x:c r="AZ90" s="1" t="s">
        <x:v>112</x:v>
      </x:c>
      <x:c r="BA90" s="1" t="s">
        <x:v>287</x:v>
      </x:c>
      <x:c r="BB90" s="1" t="s">
        <x:v>146</x:v>
      </x:c>
      <x:c r="BC90" s="1" t="s">
        <x:v>141</x:v>
      </x:c>
      <x:c r="BD90" s="1" t="s">
        <x:v>178</x:v>
      </x:c>
      <x:c r="BE90" s="11" t="n">
        <x:f>ROUND((((B90*2+C90+D90+E90+F90*2+G90+H90+I90)/10)+((J90*2+K90+L90+M90+N90*2+O90+P90+Q90)/10)*2)/3,2)</x:f>
        <x:v>5.67</x:v>
      </x:c>
      <x:c r="BF90" s="11" t="n">
        <x:f>ROUND((((R90*2+S90+T90+U90+V90*2+W90+X90+Y90)/10)+((Z90*2+AA90+AB90+AC90+AD90*2+AE90+AF90+AG90)/10)*2)/3,2)</x:f>
        <x:v>6.71</x:v>
      </x:c>
      <x:c r="BG90" s="11" t="n">
        <x:f>ROUND((((AH90*2+AI90+AJ90+AK90+AL90*2+AM90+AN90+AO90)/10)+((AP90*2+AQ90+AR90+AS90+AT90*2+AU90+AV90+AW90)/10)*2)/3,2)</x:f>
        <x:v>6.47</x:v>
      </x:c>
      <x:c r="BH90" s="13" t="str">
        <x:f>IF(BE90&lt;5,"Y",IF(BE90&lt;6.5,"TB",IF(BE90&lt;8,"K",IF(BE90&lt;9,"G","XS"))))</x:f>
        <x:v>TB</x:v>
      </x:c>
      <x:c r="BI90" s="13" t="str">
        <x:f>IF(BF90&lt;5,"Y",IF(BF90&lt;6.5,"TB",IF(BF90&lt;8,"K",IF(BF90&lt;9,"G","XS"))))</x:f>
        <x:v>K</x:v>
      </x:c>
      <x:c r="BJ90" s="13" t="str">
        <x:f>IF(BG90&lt;5,"Y",IF(BG90&lt;6.5,"TB",IF(BG90&lt;8,"K",IF(BG90&lt;9,"G","XS"))))</x:f>
        <x:v>TB</x:v>
      </x:c>
      <x:c r="BK90" s="11" t="n">
        <x:f>ROUND((BE90/10)*4,2)</x:f>
        <x:v>2.27</x:v>
      </x:c>
      <x:c r="BL90" s="11" t="n">
        <x:f>ROUND((BF90/10)*4,2)</x:f>
        <x:v>2.68</x:v>
      </x:c>
      <x:c r="BM90" s="11" t="n">
        <x:f>ROUND((BG90/10)*4,2)</x:f>
        <x:v>2.59</x:v>
      </x:c>
      <x:c r="BN90" s="13" t="n">
        <x:f>IF(IF(OR(BD90="A",BD90="A1"),(BA90*2+BB90+BC90)/4,IF(BD90="B",(BA90+BB90*2+BC90)/4,(BA90+BB90+BC90)/3))&gt;=5,1,0)</x:f>
        <x:v>0</x:v>
      </x:c>
    </x:row>
    <x:row r="91">
      <x:c r="A91" s="1" t="s">
        <x:v>292</x:v>
      </x:c>
      <x:c r="B91" s="1" t="s">
        <x:v>126</x:v>
      </x:c>
      <x:c r="C91" s="1" t="s">
        <x:v>161</x:v>
      </x:c>
      <x:c r="D91" s="1" t="s">
        <x:v>150</x:v>
      </x:c>
      <x:c r="E91" s="1" t="s">
        <x:v>166</x:v>
      </x:c>
      <x:c r="F91" s="1" t="s">
        <x:v>145</x:v>
      </x:c>
      <x:c r="G91" s="1" t="s">
        <x:v>123</x:v>
      </x:c>
      <x:c r="H91" s="1" t="s">
        <x:v>155</x:v>
      </x:c>
      <x:c r="I91" s="1" t="s">
        <x:v>153</x:v>
      </x:c>
      <x:c r="J91" s="1" t="s">
        <x:v>135</x:v>
      </x:c>
      <x:c r="K91" s="1" t="s">
        <x:v>115</x:v>
      </x:c>
      <x:c r="L91" s="1" t="s">
        <x:v>164</x:v>
      </x:c>
      <x:c r="M91" s="1" t="s">
        <x:v>127</x:v>
      </x:c>
      <x:c r="N91" s="1" t="s">
        <x:v>121</x:v>
      </x:c>
      <x:c r="O91" s="1" t="s">
        <x:v>117</x:v>
      </x:c>
      <x:c r="P91" s="1" t="s">
        <x:v>116</x:v>
      </x:c>
      <x:c r="Q91" s="1" t="s">
        <x:v>115</x:v>
      </x:c>
      <x:c r="R91" s="1" t="s">
        <x:v>125</x:v>
      </x:c>
      <x:c r="S91" s="1" t="s">
        <x:v>147</x:v>
      </x:c>
      <x:c r="T91" s="1" t="s">
        <x:v>131</x:v>
      </x:c>
      <x:c r="U91" s="1" t="s">
        <x:v>127</x:v>
      </x:c>
      <x:c r="V91" s="1" t="s">
        <x:v>134</x:v>
      </x:c>
      <x:c r="W91" s="1" t="s">
        <x:v>166</x:v>
      </x:c>
      <x:c r="X91" s="1" t="s">
        <x:v>135</x:v>
      </x:c>
      <x:c r="Y91" s="1" t="s">
        <x:v>126</x:v>
      </x:c>
      <x:c r="Z91" s="1" t="s">
        <x:v>125</x:v>
      </x:c>
      <x:c r="AA91" s="1" t="s">
        <x:v>161</x:v>
      </x:c>
      <x:c r="AB91" s="1" t="s">
        <x:v>166</x:v>
      </x:c>
      <x:c r="AC91" s="1" t="s">
        <x:v>141</x:v>
      </x:c>
      <x:c r="AD91" s="1" t="s">
        <x:v>130</x:v>
      </x:c>
      <x:c r="AE91" s="1" t="s">
        <x:v>113</x:v>
      </x:c>
      <x:c r="AF91" s="1" t="s">
        <x:v>116</x:v>
      </x:c>
      <x:c r="AG91" s="1" t="s">
        <x:v>132</x:v>
      </x:c>
      <x:c r="AH91" s="1" t="s">
        <x:v>144</x:v>
      </x:c>
      <x:c r="AI91" s="1" t="s">
        <x:v>151</x:v>
      </x:c>
      <x:c r="AJ91" s="1" t="s">
        <x:v>170</x:v>
      </x:c>
      <x:c r="AK91" s="1" t="s">
        <x:v>151</x:v>
      </x:c>
      <x:c r="AL91" s="1" t="s">
        <x:v>126</x:v>
      </x:c>
      <x:c r="AM91" s="1" t="s">
        <x:v>168</x:v>
      </x:c>
      <x:c r="AN91" s="1" t="s">
        <x:v>115</x:v>
      </x:c>
      <x:c r="AO91" s="1" t="s">
        <x:v>131</x:v>
      </x:c>
      <x:c r="AP91" s="1" t="s">
        <x:v>123</x:v>
      </x:c>
      <x:c r="AQ91" s="1" t="s">
        <x:v>177</x:v>
      </x:c>
      <x:c r="AR91" s="1" t="s">
        <x:v>164</x:v>
      </x:c>
      <x:c r="AS91" s="1" t="s">
        <x:v>212</x:v>
      </x:c>
      <x:c r="AT91" s="1" t="s">
        <x:v>134</x:v>
      </x:c>
      <x:c r="AU91" s="1" t="s">
        <x:v>166</x:v>
      </x:c>
      <x:c r="AV91" s="1" t="s">
        <x:v>161</x:v>
      </x:c>
      <x:c r="AW91" s="1" t="s">
        <x:v>166</x:v>
      </x:c>
      <x:c r="AX91" s="1" t="s">
        <x:v>160</x:v>
      </x:c>
      <x:c r="AY91" s="1" t="s">
        <x:v>138</x:v>
      </x:c>
      <x:c r="AZ91" s="1" t="s">
        <x:v>112</x:v>
      </x:c>
      <x:c r="BA91" s="1" t="s">
        <x:v>188</x:v>
      </x:c>
      <x:c r="BB91" s="1" t="s">
        <x:v>146</x:v>
      </x:c>
      <x:c r="BC91" s="1" t="s">
        <x:v>162</x:v>
      </x:c>
      <x:c r="BD91" s="1" t="s">
        <x:v>178</x:v>
      </x:c>
      <x:c r="BE91" s="11" t="n">
        <x:f>ROUND((((B91*2+C91+D91+E91+F91*2+G91+H91+I91)/10)+((J91*2+K91+L91+M91+N91*2+O91+P91+Q91)/10)*2)/3,2)</x:f>
        <x:v>6.06</x:v>
      </x:c>
      <x:c r="BF91" s="11" t="n">
        <x:f>ROUND((((R91*2+S91+T91+U91+V91*2+W91+X91+Y91)/10)+((Z91*2+AA91+AB91+AC91+AD91*2+AE91+AF91+AG91)/10)*2)/3,2)</x:f>
        <x:v>6.26</x:v>
      </x:c>
      <x:c r="BG91" s="11" t="n">
        <x:f>ROUND((((AH91*2+AI91+AJ91+AK91+AL91*2+AM91+AN91+AO91)/10)+((AP91*2+AQ91+AR91+AS91+AT91*2+AU91+AV91+AW91)/10)*2)/3,2)</x:f>
        <x:v>5.76</x:v>
      </x:c>
      <x:c r="BH91" s="13" t="str">
        <x:f>IF(BE91&lt;5,"Y",IF(BE91&lt;6.5,"TB",IF(BE91&lt;8,"K",IF(BE91&lt;9,"G","XS"))))</x:f>
        <x:v>TB</x:v>
      </x:c>
      <x:c r="BI91" s="13" t="str">
        <x:f>IF(BF91&lt;5,"Y",IF(BF91&lt;6.5,"TB",IF(BF91&lt;8,"K",IF(BF91&lt;9,"G","XS"))))</x:f>
        <x:v>TB</x:v>
      </x:c>
      <x:c r="BJ91" s="13" t="str">
        <x:f>IF(BG91&lt;5,"Y",IF(BG91&lt;6.5,"TB",IF(BG91&lt;8,"K",IF(BG91&lt;9,"G","XS"))))</x:f>
        <x:v>TB</x:v>
      </x:c>
      <x:c r="BK91" s="11" t="n">
        <x:f>ROUND((BE91/10)*4,2)</x:f>
        <x:v>2.42</x:v>
      </x:c>
      <x:c r="BL91" s="11" t="n">
        <x:f>ROUND((BF91/10)*4,2)</x:f>
        <x:v>2.5</x:v>
      </x:c>
      <x:c r="BM91" s="11" t="n">
        <x:f>ROUND((BG91/10)*4,2)</x:f>
        <x:v>2.3</x:v>
      </x:c>
      <x:c r="BN91" s="13" t="n">
        <x:f>IF(IF(OR(BD91="A",BD91="A1"),(BA91*2+BB91+BC91)/4,IF(BD91="B",(BA91+BB91*2+BC91)/4,(BA91+BB91+BC91)/3))&gt;=5,1,0)</x:f>
        <x:v>0</x:v>
      </x:c>
    </x:row>
    <x:row r="92">
      <x:c r="A92" s="1" t="s">
        <x:v>293</x:v>
      </x:c>
      <x:c r="B92" s="1" t="s">
        <x:v>133</x:v>
      </x:c>
      <x:c r="C92" s="1" t="s">
        <x:v>158</x:v>
      </x:c>
      <x:c r="D92" s="1" t="s">
        <x:v>130</x:v>
      </x:c>
      <x:c r="E92" s="1" t="s">
        <x:v>133</x:v>
      </x:c>
      <x:c r="F92" s="1" t="s">
        <x:v>150</x:v>
      </x:c>
      <x:c r="G92" s="1" t="s">
        <x:v>151</x:v>
      </x:c>
      <x:c r="H92" s="1" t="s">
        <x:v>154</x:v>
      </x:c>
      <x:c r="I92" s="1" t="s">
        <x:v>118</x:v>
      </x:c>
      <x:c r="J92" s="1" t="s">
        <x:v>131</x:v>
      </x:c>
      <x:c r="K92" s="1" t="s">
        <x:v>150</x:v>
      </x:c>
      <x:c r="L92" s="1" t="s">
        <x:v>144</x:v>
      </x:c>
      <x:c r="M92" s="1" t="s">
        <x:v>133</x:v>
      </x:c>
      <x:c r="N92" s="1" t="s">
        <x:v>156</x:v>
      </x:c>
      <x:c r="O92" s="1" t="s">
        <x:v>130</x:v>
      </x:c>
      <x:c r="P92" s="1" t="s">
        <x:v>131</x:v>
      </x:c>
      <x:c r="Q92" s="1" t="s">
        <x:v>141</x:v>
      </x:c>
      <x:c r="R92" s="1" t="s">
        <x:v>150</x:v>
      </x:c>
      <x:c r="S92" s="1" t="s">
        <x:v>141</x:v>
      </x:c>
      <x:c r="T92" s="1" t="s">
        <x:v>161</x:v>
      </x:c>
      <x:c r="U92" s="1" t="s">
        <x:v>131</x:v>
      </x:c>
      <x:c r="V92" s="1" t="s">
        <x:v>156</x:v>
      </x:c>
      <x:c r="W92" s="1" t="s">
        <x:v>133</x:v>
      </x:c>
      <x:c r="X92" s="1" t="s">
        <x:v>130</x:v>
      </x:c>
      <x:c r="Y92" s="1" t="s">
        <x:v>151</x:v>
      </x:c>
      <x:c r="Z92" s="1" t="s">
        <x:v>156</x:v>
      </x:c>
      <x:c r="AA92" s="1" t="s">
        <x:v>154</x:v>
      </x:c>
      <x:c r="AB92" s="1" t="s">
        <x:v>161</x:v>
      </x:c>
      <x:c r="AC92" s="1" t="s">
        <x:v>132</x:v>
      </x:c>
      <x:c r="AD92" s="1" t="s">
        <x:v>147</x:v>
      </x:c>
      <x:c r="AE92" s="1" t="s">
        <x:v>129</x:v>
      </x:c>
      <x:c r="AF92" s="1" t="s">
        <x:v>134</x:v>
      </x:c>
      <x:c r="AG92" s="1" t="s">
        <x:v>131</x:v>
      </x:c>
      <x:c r="AH92" s="1" t="s">
        <x:v>131</x:v>
      </x:c>
      <x:c r="AI92" s="1" t="s">
        <x:v>126</x:v>
      </x:c>
      <x:c r="AJ92" s="1" t="s">
        <x:v>161</x:v>
      </x:c>
      <x:c r="AK92" s="1" t="s">
        <x:v>126</x:v>
      </x:c>
      <x:c r="AL92" s="1" t="s">
        <x:v>133</x:v>
      </x:c>
      <x:c r="AM92" s="1" t="s">
        <x:v>151</x:v>
      </x:c>
      <x:c r="AN92" s="1" t="s">
        <x:v>155</x:v>
      </x:c>
      <x:c r="AO92" s="1" t="s">
        <x:v>151</x:v>
      </x:c>
      <x:c r="AP92" s="1" t="s">
        <x:v>113</x:v>
      </x:c>
      <x:c r="AQ92" s="1" t="s">
        <x:v>135</x:v>
      </x:c>
      <x:c r="AR92" s="1" t="s">
        <x:v>115</x:v>
      </x:c>
      <x:c r="AS92" s="1" t="s">
        <x:v>133</x:v>
      </x:c>
      <x:c r="AT92" s="1" t="s">
        <x:v>158</x:v>
      </x:c>
      <x:c r="AU92" s="1" t="s">
        <x:v>144</x:v>
      </x:c>
      <x:c r="AV92" s="1" t="s">
        <x:v>150</x:v>
      </x:c>
      <x:c r="AW92" s="1" t="s">
        <x:v>150</x:v>
      </x:c>
      <x:c r="AX92" s="1" t="s">
        <x:v>160</x:v>
      </x:c>
      <x:c r="AY92" s="1" t="s">
        <x:v>138</x:v>
      </x:c>
      <x:c r="AZ92" s="1" t="s">
        <x:v>112</x:v>
      </x:c>
      <x:c r="BA92" s="1" t="s">
        <x:v>143</x:v>
      </x:c>
      <x:c r="BB92" s="1" t="s">
        <x:v>118</x:v>
      </x:c>
      <x:c r="BC92" s="1" t="s">
        <x:v>118</x:v>
      </x:c>
      <x:c r="BD92" s="1" t="s">
        <x:v>178</x:v>
      </x:c>
      <x:c r="BE92" s="11" t="n">
        <x:f>ROUND((((B92*2+C92+D92+E92+F92*2+G92+H92+I92)/10)+((J92*2+K92+L92+M92+N92*2+O92+P92+Q92)/10)*2)/3,2)</x:f>
        <x:v>5.25</x:v>
      </x:c>
      <x:c r="BF92" s="11" t="n">
        <x:f>ROUND((((R92*2+S92+T92+U92+V92*2+W92+X92+Y92)/10)+((Z92*2+AA92+AB92+AC92+AD92*2+AE92+AF92+AG92)/10)*2)/3,2)</x:f>
        <x:v>5.39</x:v>
      </x:c>
      <x:c r="BG92" s="11" t="n">
        <x:f>ROUND((((AH92*2+AI92+AJ92+AK92+AL92*2+AM92+AN92+AO92)/10)+((AP92*2+AQ92+AR92+AS92+AT92*2+AU92+AV92+AW92)/10)*2)/3,2)</x:f>
        <x:v>5.54</x:v>
      </x:c>
      <x:c r="BH92" s="13" t="str">
        <x:f>IF(BE92&lt;5,"Y",IF(BE92&lt;6.5,"TB",IF(BE92&lt;8,"K",IF(BE92&lt;9,"G","XS"))))</x:f>
        <x:v>TB</x:v>
      </x:c>
      <x:c r="BI92" s="13" t="str">
        <x:f>IF(BF92&lt;5,"Y",IF(BF92&lt;6.5,"TB",IF(BF92&lt;8,"K",IF(BF92&lt;9,"G","XS"))))</x:f>
        <x:v>TB</x:v>
      </x:c>
      <x:c r="BJ92" s="13" t="str">
        <x:f>IF(BG92&lt;5,"Y",IF(BG92&lt;6.5,"TB",IF(BG92&lt;8,"K",IF(BG92&lt;9,"G","XS"))))</x:f>
        <x:v>TB</x:v>
      </x:c>
      <x:c r="BK92" s="11" t="n">
        <x:f>ROUND((BE92/10)*4,2)</x:f>
        <x:v>2.1</x:v>
      </x:c>
      <x:c r="BL92" s="11" t="n">
        <x:f>ROUND((BF92/10)*4,2)</x:f>
        <x:v>2.16</x:v>
      </x:c>
      <x:c r="BM92" s="11" t="n">
        <x:f>ROUND((BG92/10)*4,2)</x:f>
        <x:v>2.22</x:v>
      </x:c>
      <x:c r="BN92" s="13" t="n">
        <x:f>IF(IF(OR(BD92="A",BD92="A1"),(BA92*2+BB92+BC92)/4,IF(BD92="B",(BA92+BB92*2+BC92)/4,(BA92+BB92+BC92)/3))&gt;=5,1,0)</x:f>
        <x:v>0</x:v>
      </x:c>
    </x:row>
    <x:row r="93">
      <x:c r="A93" s="1" t="s">
        <x:v>294</x:v>
      </x:c>
      <x:c r="B93" s="1" t="s">
        <x:v>128</x:v>
      </x:c>
      <x:c r="C93" s="1" t="s">
        <x:v>174</x:v>
      </x:c>
      <x:c r="D93" s="1" t="s">
        <x:v>183</x:v>
      </x:c>
      <x:c r="E93" s="1" t="s">
        <x:v>184</x:v>
      </x:c>
      <x:c r="F93" s="1" t="s">
        <x:v>132</x:v>
      </x:c>
      <x:c r="G93" s="1" t="s">
        <x:v>176</x:v>
      </x:c>
      <x:c r="H93" s="1" t="s">
        <x:v>186</x:v>
      </x:c>
      <x:c r="I93" s="1" t="s">
        <x:v>114</x:v>
      </x:c>
      <x:c r="J93" s="1" t="s">
        <x:v>186</x:v>
      </x:c>
      <x:c r="K93" s="1" t="s">
        <x:v>175</x:v>
      </x:c>
      <x:c r="L93" s="1" t="s">
        <x:v>119</x:v>
      </x:c>
      <x:c r="M93" s="1" t="s">
        <x:v>179</x:v>
      </x:c>
      <x:c r="N93" s="1" t="s">
        <x:v>129</x:v>
      </x:c>
      <x:c r="O93" s="1" t="s">
        <x:v>120</x:v>
      </x:c>
      <x:c r="P93" s="1" t="s">
        <x:v>186</x:v>
      </x:c>
      <x:c r="Q93" s="1" t="s">
        <x:v>113</x:v>
      </x:c>
      <x:c r="R93" s="1" t="s">
        <x:v>182</x:v>
      </x:c>
      <x:c r="S93" s="1" t="s">
        <x:v>119</x:v>
      </x:c>
      <x:c r="T93" s="1" t="s">
        <x:v>185</x:v>
      </x:c>
      <x:c r="U93" s="1" t="s">
        <x:v>122</x:v>
      </x:c>
      <x:c r="V93" s="1" t="s">
        <x:v>115</x:v>
      </x:c>
      <x:c r="W93" s="1" t="s">
        <x:v>119</x:v>
      </x:c>
      <x:c r="X93" s="1" t="s">
        <x:v>186</x:v>
      </x:c>
      <x:c r="Y93" s="1" t="s">
        <x:v>129</x:v>
      </x:c>
      <x:c r="Z93" s="1" t="s">
        <x:v>186</x:v>
      </x:c>
      <x:c r="AA93" s="1" t="s">
        <x:v>183</x:v>
      </x:c>
      <x:c r="AB93" s="1" t="s">
        <x:v>174</x:v>
      </x:c>
      <x:c r="AC93" s="1" t="s">
        <x:v>183</x:v>
      </x:c>
      <x:c r="AD93" s="1" t="s">
        <x:v>116</x:v>
      </x:c>
      <x:c r="AE93" s="1" t="s">
        <x:v>117</x:v>
      </x:c>
      <x:c r="AF93" s="1" t="s">
        <x:v>114</x:v>
      </x:c>
      <x:c r="AG93" s="1" t="s">
        <x:v>165</x:v>
      </x:c>
      <x:c r="AH93" s="1" t="s">
        <x:v>120</x:v>
      </x:c>
      <x:c r="AI93" s="1" t="s">
        <x:v>113</x:v>
      </x:c>
      <x:c r="AJ93" s="1" t="s">
        <x:v>125</x:v>
      </x:c>
      <x:c r="AK93" s="1" t="s">
        <x:v>181</x:v>
      </x:c>
      <x:c r="AL93" s="1" t="s">
        <x:v>123</x:v>
      </x:c>
      <x:c r="AM93" s="1" t="s">
        <x:v>136</x:v>
      </x:c>
      <x:c r="AN93" s="1" t="s">
        <x:v>128</x:v>
      </x:c>
      <x:c r="AO93" s="1" t="s">
        <x:v>136</x:v>
      </x:c>
      <x:c r="AP93" s="1" t="s">
        <x:v>184</x:v>
      </x:c>
      <x:c r="AQ93" s="1" t="s">
        <x:v>182</x:v>
      </x:c>
      <x:c r="AR93" s="1" t="s">
        <x:v>165</x:v>
      </x:c>
      <x:c r="AS93" s="1" t="s">
        <x:v>176</x:v>
      </x:c>
      <x:c r="AT93" s="1" t="s">
        <x:v>117</x:v>
      </x:c>
      <x:c r="AU93" s="1" t="s">
        <x:v>175</x:v>
      </x:c>
      <x:c r="AV93" s="1" t="s">
        <x:v>124</x:v>
      </x:c>
      <x:c r="AW93" s="1" t="s">
        <x:v>181</x:v>
      </x:c>
      <x:c r="AX93" s="1" t="s">
        <x:v>160</x:v>
      </x:c>
      <x:c r="AY93" s="1" t="s">
        <x:v>138</x:v>
      </x:c>
      <x:c r="AZ93" s="1" t="s">
        <x:v>143</x:v>
      </x:c>
      <x:c r="BA93" s="1" t="s">
        <x:v>270</x:v>
      </x:c>
      <x:c r="BB93" s="1" t="s">
        <x:v>146</x:v>
      </x:c>
      <x:c r="BC93" s="1" t="s">
        <x:v>135</x:v>
      </x:c>
      <x:c r="BD93" s="1" t="s">
        <x:v>178</x:v>
      </x:c>
      <x:c r="BE93" s="11" t="n">
        <x:f>ROUND((((B93*2+C93+D93+E93+F93*2+G93+H93+I93)/10)+((J93*2+K93+L93+M93+N93*2+O93+P93+Q93)/10)*2)/3,2)</x:f>
        <x:v>8.13</x:v>
      </x:c>
      <x:c r="BF93" s="11" t="n">
        <x:f>ROUND((((R93*2+S93+T93+U93+V93*2+W93+X93+Y93)/10)+((Z93*2+AA93+AB93+AC93+AD93*2+AE93+AF93+AG93)/10)*2)/3,2)</x:f>
        <x:v>8.04</x:v>
      </x:c>
      <x:c r="BG93" s="11" t="n">
        <x:f>ROUND((((AH93*2+AI93+AJ93+AK93+AL93*2+AM93+AN93+AO93)/10)+((AP93*2+AQ93+AR93+AS93+AT93*2+AU93+AV93+AW93)/10)*2)/3,2)</x:f>
        <x:v>8.08</x:v>
      </x:c>
      <x:c r="BH93" s="13" t="str">
        <x:f>IF(BE93&lt;5,"Y",IF(BE93&lt;6.5,"TB",IF(BE93&lt;8,"K",IF(BE93&lt;9,"G","XS"))))</x:f>
        <x:v>G</x:v>
      </x:c>
      <x:c r="BI93" s="13" t="str">
        <x:f>IF(BF93&lt;5,"Y",IF(BF93&lt;6.5,"TB",IF(BF93&lt;8,"K",IF(BF93&lt;9,"G","XS"))))</x:f>
        <x:v>G</x:v>
      </x:c>
      <x:c r="BJ93" s="13" t="str">
        <x:f>IF(BG93&lt;5,"Y",IF(BG93&lt;6.5,"TB",IF(BG93&lt;8,"K",IF(BG93&lt;9,"G","XS"))))</x:f>
        <x:v>G</x:v>
      </x:c>
      <x:c r="BK93" s="11" t="n">
        <x:f>ROUND((BE93/10)*4,2)</x:f>
        <x:v>3.25</x:v>
      </x:c>
      <x:c r="BL93" s="11" t="n">
        <x:f>ROUND((BF93/10)*4,2)</x:f>
        <x:v>3.22</x:v>
      </x:c>
      <x:c r="BM93" s="11" t="n">
        <x:f>ROUND((BG93/10)*4,2)</x:f>
        <x:v>3.23</x:v>
      </x:c>
      <x:c r="BN93" s="13" t="n">
        <x:f>IF(IF(OR(BD93="A",BD93="A1"),(BA93*2+BB93+BC93)/4,IF(BD93="B",(BA93+BB93*2+BC93)/4,(BA93+BB93+BC93)/3))&gt;=5,1,0)</x:f>
        <x:v>1</x:v>
      </x:c>
    </x:row>
    <x:row r="94">
      <x:c r="A94" s="1" t="s">
        <x:v>295</x:v>
      </x:c>
      <x:c r="B94" s="1" t="s">
        <x:v>181</x:v>
      </x:c>
      <x:c r="C94" s="1" t="s">
        <x:v>135</x:v>
      </x:c>
      <x:c r="D94" s="1" t="s">
        <x:v>159</x:v>
      </x:c>
      <x:c r="E94" s="1" t="s">
        <x:v>144</x:v>
      </x:c>
      <x:c r="F94" s="1" t="s">
        <x:v>166</x:v>
      </x:c>
      <x:c r="G94" s="1" t="s">
        <x:v>170</x:v>
      </x:c>
      <x:c r="H94" s="1" t="s">
        <x:v>130</x:v>
      </x:c>
      <x:c r="I94" s="1" t="s">
        <x:v>154</x:v>
      </x:c>
      <x:c r="J94" s="1" t="s">
        <x:v>120</x:v>
      </x:c>
      <x:c r="K94" s="1" t="s">
        <x:v>127</x:v>
      </x:c>
      <x:c r="L94" s="1" t="s">
        <x:v>166</x:v>
      </x:c>
      <x:c r="M94" s="1" t="s">
        <x:v>165</x:v>
      </x:c>
      <x:c r="N94" s="1" t="s">
        <x:v>166</x:v>
      </x:c>
      <x:c r="O94" s="1" t="s">
        <x:v>154</x:v>
      </x:c>
      <x:c r="P94" s="1" t="s">
        <x:v>168</x:v>
      </x:c>
      <x:c r="Q94" s="1" t="s">
        <x:v>150</x:v>
      </x:c>
      <x:c r="R94" s="1" t="s">
        <x:v>184</x:v>
      </x:c>
      <x:c r="S94" s="1" t="s">
        <x:v>177</x:v>
      </x:c>
      <x:c r="T94" s="1" t="s">
        <x:v>126</x:v>
      </x:c>
      <x:c r="U94" s="1" t="s">
        <x:v>159</x:v>
      </x:c>
      <x:c r="V94" s="1" t="s">
        <x:v>131</x:v>
      </x:c>
      <x:c r="W94" s="1" t="s">
        <x:v>161</x:v>
      </x:c>
      <x:c r="X94" s="1" t="s">
        <x:v>127</x:v>
      </x:c>
      <x:c r="Y94" s="1" t="s">
        <x:v>159</x:v>
      </x:c>
      <x:c r="Z94" s="1" t="s">
        <x:v>181</x:v>
      </x:c>
      <x:c r="AA94" s="1" t="s">
        <x:v>125</x:v>
      </x:c>
      <x:c r="AB94" s="1" t="s">
        <x:v>134</x:v>
      </x:c>
      <x:c r="AC94" s="1" t="s">
        <x:v>168</x:v>
      </x:c>
      <x:c r="AD94" s="1" t="s">
        <x:v>168</x:v>
      </x:c>
      <x:c r="AE94" s="1" t="s">
        <x:v>132</x:v>
      </x:c>
      <x:c r="AF94" s="1" t="s">
        <x:v>123</x:v>
      </x:c>
      <x:c r="AG94" s="1" t="s">
        <x:v>130</x:v>
      </x:c>
      <x:c r="AH94" s="1" t="s">
        <x:v>176</x:v>
      </x:c>
      <x:c r="AI94" s="1" t="s">
        <x:v>136</x:v>
      </x:c>
      <x:c r="AJ94" s="1" t="s">
        <x:v>135</x:v>
      </x:c>
      <x:c r="AK94" s="1" t="s">
        <x:v>123</x:v>
      </x:c>
      <x:c r="AL94" s="1" t="s">
        <x:v>156</x:v>
      </x:c>
      <x:c r="AM94" s="1" t="s">
        <x:v>168</x:v>
      </x:c>
      <x:c r="AN94" s="1" t="s">
        <x:v>168</x:v>
      </x:c>
      <x:c r="AO94" s="1" t="s">
        <x:v>118</x:v>
      </x:c>
      <x:c r="AP94" s="1" t="s">
        <x:v>202</x:v>
      </x:c>
      <x:c r="AQ94" s="1" t="s">
        <x:v>185</x:v>
      </x:c>
      <x:c r="AR94" s="1" t="s">
        <x:v>129</x:v>
      </x:c>
      <x:c r="AS94" s="1" t="s">
        <x:v>185</x:v>
      </x:c>
      <x:c r="AT94" s="1" t="s">
        <x:v>115</x:v>
      </x:c>
      <x:c r="AU94" s="1" t="s">
        <x:v>113</x:v>
      </x:c>
      <x:c r="AV94" s="1" t="s">
        <x:v>125</x:v>
      </x:c>
      <x:c r="AW94" s="1" t="s">
        <x:v>116</x:v>
      </x:c>
      <x:c r="AX94" s="1" t="s">
        <x:v>160</x:v>
      </x:c>
      <x:c r="AY94" s="1" t="s">
        <x:v>138</x:v>
      </x:c>
      <x:c r="AZ94" s="1" t="s">
        <x:v>139</x:v>
      </x:c>
      <x:c r="BA94" s="1" t="s">
        <x:v>190</x:v>
      </x:c>
      <x:c r="BB94" s="1" t="s">
        <x:v>190</x:v>
      </x:c>
      <x:c r="BC94" s="1" t="s">
        <x:v>141</x:v>
      </x:c>
      <x:c r="BD94" s="1" t="s">
        <x:v>178</x:v>
      </x:c>
      <x:c r="BE94" s="11" t="n">
        <x:f>ROUND((((B94*2+C94+D94+E94+F94*2+G94+H94+I94)/10)+((J94*2+K94+L94+M94+N94*2+O94+P94+Q94)/10)*2)/3,2)</x:f>
        <x:v>6.48</x:v>
      </x:c>
      <x:c r="BF94" s="11" t="n">
        <x:f>ROUND((((R94*2+S94+T94+U94+V94*2+W94+X94+Y94)/10)+((Z94*2+AA94+AB94+AC94+AD94*2+AE94+AF94+AG94)/10)*2)/3,2)</x:f>
        <x:v>6.64</x:v>
      </x:c>
      <x:c r="BG94" s="11" t="n">
        <x:f>ROUND((((AH94*2+AI94+AJ94+AK94+AL94*2+AM94+AN94+AO94)/10)+((AP94*2+AQ94+AR94+AS94+AT94*2+AU94+AV94+AW94)/10)*2)/3,2)</x:f>
        <x:v>7.31</x:v>
      </x:c>
      <x:c r="BH94" s="13" t="str">
        <x:f>IF(BE94&lt;5,"Y",IF(BE94&lt;6.5,"TB",IF(BE94&lt;8,"K",IF(BE94&lt;9,"G","XS"))))</x:f>
        <x:v>TB</x:v>
      </x:c>
      <x:c r="BI94" s="13" t="str">
        <x:f>IF(BF94&lt;5,"Y",IF(BF94&lt;6.5,"TB",IF(BF94&lt;8,"K",IF(BF94&lt;9,"G","XS"))))</x:f>
        <x:v>K</x:v>
      </x:c>
      <x:c r="BJ94" s="13" t="str">
        <x:f>IF(BG94&lt;5,"Y",IF(BG94&lt;6.5,"TB",IF(BG94&lt;8,"K",IF(BG94&lt;9,"G","XS"))))</x:f>
        <x:v>K</x:v>
      </x:c>
      <x:c r="BK94" s="11" t="n">
        <x:f>ROUND((BE94/10)*4,2)</x:f>
        <x:v>2.59</x:v>
      </x:c>
      <x:c r="BL94" s="11" t="n">
        <x:f>ROUND((BF94/10)*4,2)</x:f>
        <x:v>2.66</x:v>
      </x:c>
      <x:c r="BM94" s="11" t="n">
        <x:f>ROUND((BG94/10)*4,2)</x:f>
        <x:v>2.92</x:v>
      </x:c>
      <x:c r="BN94" s="13" t="n">
        <x:f>IF(IF(OR(BD94="A",BD94="A1"),(BA94*2+BB94+BC94)/4,IF(BD94="B",(BA94+BB94*2+BC94)/4,(BA94+BB94+BC94)/3))&gt;=5,1,0)</x:f>
        <x:v>0</x:v>
      </x:c>
    </x:row>
    <x:row r="95">
      <x:c r="A95" s="1" t="s">
        <x:v>296</x:v>
      </x:c>
      <x:c r="B95" s="1" t="s">
        <x:v>134</x:v>
      </x:c>
      <x:c r="C95" s="1" t="s">
        <x:v>123</x:v>
      </x:c>
      <x:c r="D95" s="1" t="s">
        <x:v>135</x:v>
      </x:c>
      <x:c r="E95" s="1" t="s">
        <x:v>113</x:v>
      </x:c>
      <x:c r="F95" s="1" t="s">
        <x:v>121</x:v>
      </x:c>
      <x:c r="G95" s="1" t="s">
        <x:v>159</x:v>
      </x:c>
      <x:c r="H95" s="1" t="s">
        <x:v>168</x:v>
      </x:c>
      <x:c r="I95" s="1" t="s">
        <x:v>161</x:v>
      </x:c>
      <x:c r="J95" s="1" t="s">
        <x:v>164</x:v>
      </x:c>
      <x:c r="K95" s="1" t="s">
        <x:v>132</x:v>
      </x:c>
      <x:c r="L95" s="1" t="s">
        <x:v>135</x:v>
      </x:c>
      <x:c r="M95" s="1" t="s">
        <x:v>176</x:v>
      </x:c>
      <x:c r="N95" s="1" t="s">
        <x:v>130</x:v>
      </x:c>
      <x:c r="O95" s="1" t="s">
        <x:v>155</x:v>
      </x:c>
      <x:c r="P95" s="1" t="s">
        <x:v>115</x:v>
      </x:c>
      <x:c r="Q95" s="1" t="s">
        <x:v>165</x:v>
      </x:c>
      <x:c r="R95" s="1" t="s">
        <x:v>113</x:v>
      </x:c>
      <x:c r="S95" s="1" t="s">
        <x:v>164</x:v>
      </x:c>
      <x:c r="T95" s="1" t="s">
        <x:v>121</x:v>
      </x:c>
      <x:c r="U95" s="1" t="s">
        <x:v>166</x:v>
      </x:c>
      <x:c r="V95" s="1" t="s">
        <x:v>133</x:v>
      </x:c>
      <x:c r="W95" s="1" t="s">
        <x:v>113</x:v>
      </x:c>
      <x:c r="X95" s="1" t="s">
        <x:v>123</x:v>
      </x:c>
      <x:c r="Y95" s="1" t="s">
        <x:v>168</x:v>
      </x:c>
      <x:c r="Z95" s="1" t="s">
        <x:v>132</x:v>
      </x:c>
      <x:c r="AA95" s="1" t="s">
        <x:v>121</x:v>
      </x:c>
      <x:c r="AB95" s="1" t="s">
        <x:v>133</x:v>
      </x:c>
      <x:c r="AC95" s="1" t="s">
        <x:v>117</x:v>
      </x:c>
      <x:c r="AD95" s="1" t="s">
        <x:v>133</x:v>
      </x:c>
      <x:c r="AE95" s="1" t="s">
        <x:v>130</x:v>
      </x:c>
      <x:c r="AF95" s="1" t="s">
        <x:v>147</x:v>
      </x:c>
      <x:c r="AG95" s="1" t="s">
        <x:v>114</x:v>
      </x:c>
      <x:c r="AH95" s="1" t="s">
        <x:v>177</x:v>
      </x:c>
      <x:c r="AI95" s="1" t="s">
        <x:v>129</x:v>
      </x:c>
      <x:c r="AJ95" s="1" t="s">
        <x:v>127</x:v>
      </x:c>
      <x:c r="AK95" s="1" t="s">
        <x:v>127</x:v>
      </x:c>
      <x:c r="AL95" s="1" t="s">
        <x:v>159</x:v>
      </x:c>
      <x:c r="AM95" s="1" t="s">
        <x:v>131</x:v>
      </x:c>
      <x:c r="AN95" s="1" t="s">
        <x:v>144</x:v>
      </x:c>
      <x:c r="AO95" s="1" t="s">
        <x:v>131</x:v>
      </x:c>
      <x:c r="AP95" s="1" t="s">
        <x:v>165</x:v>
      </x:c>
      <x:c r="AQ95" s="1" t="s">
        <x:v>115</x:v>
      </x:c>
      <x:c r="AR95" s="1" t="s">
        <x:v>159</x:v>
      </x:c>
      <x:c r="AS95" s="1" t="s">
        <x:v>164</x:v>
      </x:c>
      <x:c r="AT95" s="1" t="s">
        <x:v>113</x:v>
      </x:c>
      <x:c r="AU95" s="1" t="s">
        <x:v>130</x:v>
      </x:c>
      <x:c r="AV95" s="1" t="s">
        <x:v>159</x:v>
      </x:c>
      <x:c r="AW95" s="1" t="s">
        <x:v>121</x:v>
      </x:c>
      <x:c r="AX95" s="1" t="s">
        <x:v>160</x:v>
      </x:c>
      <x:c r="AY95" s="1" t="s">
        <x:v>138</x:v>
      </x:c>
      <x:c r="AZ95" s="1" t="s">
        <x:v>112</x:v>
      </x:c>
      <x:c r="BA95" s="1" t="s">
        <x:v>140</x:v>
      </x:c>
      <x:c r="BB95" s="1" t="s">
        <x:v>173</x:v>
      </x:c>
      <x:c r="BC95" s="1" t="s">
        <x:v>172</x:v>
      </x:c>
      <x:c r="BD95" s="1" t="s">
        <x:v>178</x:v>
      </x:c>
      <x:c r="BE95" s="11" t="n">
        <x:f>ROUND((((B95*2+C95+D95+E95+F95*2+G95+H95+I95)/10)+((J95*2+K95+L95+M95+N95*2+O95+P95+Q95)/10)*2)/3,2)</x:f>
        <x:v>6.39</x:v>
      </x:c>
      <x:c r="BF95" s="11" t="n">
        <x:f>ROUND((((R95*2+S95+T95+U95+V95*2+W95+X95+Y95)/10)+((Z95*2+AA95+AB95+AC95+AD95*2+AE95+AF95+AG95)/10)*2)/3,2)</x:f>
        <x:v>6.26</x:v>
      </x:c>
      <x:c r="BG95" s="11" t="n">
        <x:f>ROUND((((AH95*2+AI95+AJ95+AK95+AL95*2+AM95+AN95+AO95)/10)+((AP95*2+AQ95+AR95+AS95+AT95*2+AU95+AV95+AW95)/10)*2)/3,2)</x:f>
        <x:v>6.74</x:v>
      </x:c>
      <x:c r="BH95" s="13" t="str">
        <x:f>IF(BE95&lt;5,"Y",IF(BE95&lt;6.5,"TB",IF(BE95&lt;8,"K",IF(BE95&lt;9,"G","XS"))))</x:f>
        <x:v>TB</x:v>
      </x:c>
      <x:c r="BI95" s="13" t="str">
        <x:f>IF(BF95&lt;5,"Y",IF(BF95&lt;6.5,"TB",IF(BF95&lt;8,"K",IF(BF95&lt;9,"G","XS"))))</x:f>
        <x:v>TB</x:v>
      </x:c>
      <x:c r="BJ95" s="13" t="str">
        <x:f>IF(BG95&lt;5,"Y",IF(BG95&lt;6.5,"TB",IF(BG95&lt;8,"K",IF(BG95&lt;9,"G","XS"))))</x:f>
        <x:v>K</x:v>
      </x:c>
      <x:c r="BK95" s="11" t="n">
        <x:f>ROUND((BE95/10)*4,2)</x:f>
        <x:v>2.56</x:v>
      </x:c>
      <x:c r="BL95" s="11" t="n">
        <x:f>ROUND((BF95/10)*4,2)</x:f>
        <x:v>2.5</x:v>
      </x:c>
      <x:c r="BM95" s="11" t="n">
        <x:f>ROUND((BG95/10)*4,2)</x:f>
        <x:v>2.7</x:v>
      </x:c>
      <x:c r="BN95" s="13" t="n">
        <x:f>IF(IF(OR(BD95="A",BD95="A1"),(BA95*2+BB95+BC95)/4,IF(BD95="B",(BA95+BB95*2+BC95)/4,(BA95+BB95+BC95)/3))&gt;=5,1,0)</x:f>
        <x:v>0</x:v>
      </x:c>
    </x:row>
    <x:row r="96">
      <x:c r="A96" s="1" t="s">
        <x:v>297</x:v>
      </x:c>
      <x:c r="B96" s="1" t="s">
        <x:v>126</x:v>
      </x:c>
      <x:c r="C96" s="1" t="s">
        <x:v>126</x:v>
      </x:c>
      <x:c r="D96" s="1" t="s">
        <x:v>164</x:v>
      </x:c>
      <x:c r="E96" s="1" t="s">
        <x:v>117</x:v>
      </x:c>
      <x:c r="F96" s="1" t="s">
        <x:v>123</x:v>
      </x:c>
      <x:c r="G96" s="1" t="s">
        <x:v>120</x:v>
      </x:c>
      <x:c r="H96" s="1" t="s">
        <x:v>136</x:v>
      </x:c>
      <x:c r="I96" s="1" t="s">
        <x:v>147</x:v>
      </x:c>
      <x:c r="J96" s="1" t="s">
        <x:v>164</x:v>
      </x:c>
      <x:c r="K96" s="1" t="s">
        <x:v>121</x:v>
      </x:c>
      <x:c r="L96" s="1" t="s">
        <x:v>121</x:v>
      </x:c>
      <x:c r="M96" s="1" t="s">
        <x:v>120</x:v>
      </x:c>
      <x:c r="N96" s="1" t="s">
        <x:v>116</x:v>
      </x:c>
      <x:c r="O96" s="1" t="s">
        <x:v>186</x:v>
      </x:c>
      <x:c r="P96" s="1" t="s">
        <x:v>176</x:v>
      </x:c>
      <x:c r="Q96" s="1" t="s">
        <x:v>133</x:v>
      </x:c>
      <x:c r="R96" s="1" t="s">
        <x:v>159</x:v>
      </x:c>
      <x:c r="S96" s="1" t="s">
        <x:v>161</x:v>
      </x:c>
      <x:c r="T96" s="1" t="s">
        <x:v>118</x:v>
      </x:c>
      <x:c r="U96" s="1" t="s">
        <x:v>114</x:v>
      </x:c>
      <x:c r="V96" s="1" t="s">
        <x:v>127</x:v>
      </x:c>
      <x:c r="W96" s="1" t="s">
        <x:v>183</x:v>
      </x:c>
      <x:c r="X96" s="1" t="s">
        <x:v>176</x:v>
      </x:c>
      <x:c r="Y96" s="1" t="s">
        <x:v>156</x:v>
      </x:c>
      <x:c r="Z96" s="1" t="s">
        <x:v>123</x:v>
      </x:c>
      <x:c r="AA96" s="1" t="s">
        <x:v>159</x:v>
      </x:c>
      <x:c r="AB96" s="1" t="s">
        <x:v>117</x:v>
      </x:c>
      <x:c r="AC96" s="1" t="s">
        <x:v>174</x:v>
      </x:c>
      <x:c r="AD96" s="1" t="s">
        <x:v>127</x:v>
      </x:c>
      <x:c r="AE96" s="1" t="s">
        <x:v>124</x:v>
      </x:c>
      <x:c r="AF96" s="1" t="s">
        <x:v>136</x:v>
      </x:c>
      <x:c r="AG96" s="1" t="s">
        <x:v>159</x:v>
      </x:c>
      <x:c r="AH96" s="1" t="s">
        <x:v>114</x:v>
      </x:c>
      <x:c r="AI96" s="1" t="s">
        <x:v>144</x:v>
      </x:c>
      <x:c r="AJ96" s="1" t="s">
        <x:v>133</x:v>
      </x:c>
      <x:c r="AK96" s="1" t="s">
        <x:v>164</x:v>
      </x:c>
      <x:c r="AL96" s="1" t="s">
        <x:v>115</x:v>
      </x:c>
      <x:c r="AM96" s="1" t="s">
        <x:v>125</x:v>
      </x:c>
      <x:c r="AN96" s="1" t="s">
        <x:v>165</x:v>
      </x:c>
      <x:c r="AO96" s="1" t="s">
        <x:v>144</x:v>
      </x:c>
      <x:c r="AP96" s="1" t="s">
        <x:v>114</x:v>
      </x:c>
      <x:c r="AQ96" s="1" t="s">
        <x:v>135</x:v>
      </x:c>
      <x:c r="AR96" s="1" t="s">
        <x:v>159</x:v>
      </x:c>
      <x:c r="AS96" s="1" t="s">
        <x:v>121</x:v>
      </x:c>
      <x:c r="AT96" s="1" t="s">
        <x:v>114</x:v>
      </x:c>
      <x:c r="AU96" s="1" t="s">
        <x:v>124</x:v>
      </x:c>
      <x:c r="AV96" s="1" t="s">
        <x:v>181</x:v>
      </x:c>
      <x:c r="AW96" s="1" t="s">
        <x:v>134</x:v>
      </x:c>
      <x:c r="AX96" s="1" t="s">
        <x:v>160</x:v>
      </x:c>
      <x:c r="AY96" s="1" t="s">
        <x:v>138</x:v>
      </x:c>
      <x:c r="AZ96" s="1" t="s">
        <x:v>112</x:v>
      </x:c>
      <x:c r="BA96" s="1" t="s">
        <x:v>162</x:v>
      </x:c>
      <x:c r="BB96" s="1" t="s">
        <x:v>172</x:v>
      </x:c>
      <x:c r="BC96" s="1" t="s">
        <x:v>134</x:v>
      </x:c>
      <x:c r="BD96" s="1" t="s">
        <x:v>178</x:v>
      </x:c>
      <x:c r="BE96" s="11" t="n">
        <x:f>ROUND((((B96*2+C96+D96+E96+F96*2+G96+H96+I96)/10)+((J96*2+K96+L96+M96+N96*2+O96+P96+Q96)/10)*2)/3,2)</x:f>
        <x:v>6.92</x:v>
      </x:c>
      <x:c r="BF96" s="11" t="n">
        <x:f>ROUND((((R96*2+S96+T96+U96+V96*2+W96+X96+Y96)/10)+((Z96*2+AA96+AB96+AC96+AD96*2+AE96+AF96+AG96)/10)*2)/3,2)</x:f>
        <x:v>7.11</x:v>
      </x:c>
      <x:c r="BG96" s="11" t="n">
        <x:f>ROUND((((AH96*2+AI96+AJ96+AK96+AL96*2+AM96+AN96+AO96)/10)+((AP96*2+AQ96+AR96+AS96+AT96*2+AU96+AV96+AW96)/10)*2)/3,2)</x:f>
        <x:v>6.83</x:v>
      </x:c>
      <x:c r="BH96" s="13" t="str">
        <x:f>IF(BE96&lt;5,"Y",IF(BE96&lt;6.5,"TB",IF(BE96&lt;8,"K",IF(BE96&lt;9,"G","XS"))))</x:f>
        <x:v>K</x:v>
      </x:c>
      <x:c r="BI96" s="13" t="str">
        <x:f>IF(BF96&lt;5,"Y",IF(BF96&lt;6.5,"TB",IF(BF96&lt;8,"K",IF(BF96&lt;9,"G","XS"))))</x:f>
        <x:v>K</x:v>
      </x:c>
      <x:c r="BJ96" s="13" t="str">
        <x:f>IF(BG96&lt;5,"Y",IF(BG96&lt;6.5,"TB",IF(BG96&lt;8,"K",IF(BG96&lt;9,"G","XS"))))</x:f>
        <x:v>K</x:v>
      </x:c>
      <x:c r="BK96" s="11" t="n">
        <x:f>ROUND((BE96/10)*4,2)</x:f>
        <x:v>2.77</x:v>
      </x:c>
      <x:c r="BL96" s="11" t="n">
        <x:f>ROUND((BF96/10)*4,2)</x:f>
        <x:v>2.84</x:v>
      </x:c>
      <x:c r="BM96" s="11" t="n">
        <x:f>ROUND((BG96/10)*4,2)</x:f>
        <x:v>2.73</x:v>
      </x:c>
      <x:c r="BN96" s="13" t="n">
        <x:f>IF(IF(OR(BD96="A",BD96="A1"),(BA96*2+BB96+BC96)/4,IF(BD96="B",(BA96+BB96*2+BC96)/4,(BA96+BB96+BC96)/3))&gt;=5,1,0)</x:f>
        <x:v>0</x:v>
      </x:c>
    </x:row>
    <x:row r="97">
      <x:c r="A97" s="1" t="s">
        <x:v>298</x:v>
      </x:c>
      <x:c r="B97" s="1" t="s">
        <x:v>121</x:v>
      </x:c>
      <x:c r="C97" s="1" t="s">
        <x:v>130</x:v>
      </x:c>
      <x:c r="D97" s="1" t="s">
        <x:v>136</x:v>
      </x:c>
      <x:c r="E97" s="1" t="s">
        <x:v>132</x:v>
      </x:c>
      <x:c r="F97" s="1" t="s">
        <x:v>147</x:v>
      </x:c>
      <x:c r="G97" s="1" t="s">
        <x:v>128</x:v>
      </x:c>
      <x:c r="H97" s="1" t="s">
        <x:v>132</x:v>
      </x:c>
      <x:c r="I97" s="1" t="s">
        <x:v>134</x:v>
      </x:c>
      <x:c r="J97" s="1" t="s">
        <x:v>168</x:v>
      </x:c>
      <x:c r="K97" s="1" t="s">
        <x:v>113</x:v>
      </x:c>
      <x:c r="L97" s="1" t="s">
        <x:v>174</x:v>
      </x:c>
      <x:c r="M97" s="1" t="s">
        <x:v>165</x:v>
      </x:c>
      <x:c r="N97" s="1" t="s">
        <x:v>147</x:v>
      </x:c>
      <x:c r="O97" s="1" t="s">
        <x:v>119</x:v>
      </x:c>
      <x:c r="P97" s="1" t="s">
        <x:v>164</x:v>
      </x:c>
      <x:c r="Q97" s="1" t="s">
        <x:v>132</x:v>
      </x:c>
      <x:c r="R97" s="1" t="s">
        <x:v>114</x:v>
      </x:c>
      <x:c r="S97" s="1" t="s">
        <x:v>116</x:v>
      </x:c>
      <x:c r="T97" s="1" t="s">
        <x:v>117</x:v>
      </x:c>
      <x:c r="U97" s="1" t="s">
        <x:v>114</x:v>
      </x:c>
      <x:c r="V97" s="1" t="s">
        <x:v>133</x:v>
      </x:c>
      <x:c r="W97" s="1" t="s">
        <x:v>176</x:v>
      </x:c>
      <x:c r="X97" s="1" t="s">
        <x:v>164</x:v>
      </x:c>
      <x:c r="Y97" s="1" t="s">
        <x:v>156</x:v>
      </x:c>
      <x:c r="Z97" s="1" t="s">
        <x:v>129</x:v>
      </x:c>
      <x:c r="AA97" s="1" t="s">
        <x:v>114</x:v>
      </x:c>
      <x:c r="AB97" s="1" t="s">
        <x:v>119</x:v>
      </x:c>
      <x:c r="AC97" s="1" t="s">
        <x:v>114</x:v>
      </x:c>
      <x:c r="AD97" s="1" t="s">
        <x:v>133</x:v>
      </x:c>
      <x:c r="AE97" s="1" t="s">
        <x:v>124</x:v>
      </x:c>
      <x:c r="AF97" s="1" t="s">
        <x:v>116</x:v>
      </x:c>
      <x:c r="AG97" s="1" t="s">
        <x:v>131</x:v>
      </x:c>
      <x:c r="AH97" s="1" t="s">
        <x:v>114</x:v>
      </x:c>
      <x:c r="AI97" s="1" t="s">
        <x:v>164</x:v>
      </x:c>
      <x:c r="AJ97" s="1" t="s">
        <x:v>135</x:v>
      </x:c>
      <x:c r="AK97" s="1" t="s">
        <x:v>177</x:v>
      </x:c>
      <x:c r="AL97" s="1" t="s">
        <x:v>130</x:v>
      </x:c>
      <x:c r="AM97" s="1" t="s">
        <x:v>147</x:v>
      </x:c>
      <x:c r="AN97" s="1" t="s">
        <x:v>125</x:v>
      </x:c>
      <x:c r="AO97" s="1" t="s">
        <x:v>135</x:v>
      </x:c>
      <x:c r="AP97" s="1" t="s">
        <x:v>159</x:v>
      </x:c>
      <x:c r="AQ97" s="1" t="s">
        <x:v>128</x:v>
      </x:c>
      <x:c r="AR97" s="1" t="s">
        <x:v>129</x:v>
      </x:c>
      <x:c r="AS97" s="1" t="s">
        <x:v>164</x:v>
      </x:c>
      <x:c r="AT97" s="1" t="s">
        <x:v>161</x:v>
      </x:c>
      <x:c r="AU97" s="1" t="s">
        <x:v>114</x:v>
      </x:c>
      <x:c r="AV97" s="1" t="s">
        <x:v>164</x:v>
      </x:c>
      <x:c r="AW97" s="1" t="s">
        <x:v>147</x:v>
      </x:c>
      <x:c r="AX97" s="1" t="s">
        <x:v>160</x:v>
      </x:c>
      <x:c r="AY97" s="1" t="s">
        <x:v>138</x:v>
      </x:c>
      <x:c r="AZ97" s="1" t="s">
        <x:v>112</x:v>
      </x:c>
      <x:c r="BA97" s="1" t="s">
        <x:v>172</x:v>
      </x:c>
      <x:c r="BB97" s="1" t="s">
        <x:v>167</x:v>
      </x:c>
      <x:c r="BC97" s="1" t="s">
        <x:v>190</x:v>
      </x:c>
      <x:c r="BD97" s="1" t="s">
        <x:v>178</x:v>
      </x:c>
      <x:c r="BE97" s="11" t="n">
        <x:f>ROUND((((B97*2+C97+D97+E97+F97*2+G97+H97+I97)/10)+((J97*2+K97+L97+M97+N97*2+O97+P97+Q97)/10)*2)/3,2)</x:f>
        <x:v>6.51</x:v>
      </x:c>
      <x:c r="BF97" s="11" t="n">
        <x:f>ROUND((((R97*2+S97+T97+U97+V97*2+W97+X97+Y97)/10)+((Z97*2+AA97+AB97+AC97+AD97*2+AE97+AF97+AG97)/10)*2)/3,2)</x:f>
        <x:v>6.95</x:v>
      </x:c>
      <x:c r="BG97" s="11" t="n">
        <x:f>ROUND((((AH97*2+AI97+AJ97+AK97+AL97*2+AM97+AN97+AO97)/10)+((AP97*2+AQ97+AR97+AS97+AT97*2+AU97+AV97+AW97)/10)*2)/3,2)</x:f>
        <x:v>6.68</x:v>
      </x:c>
      <x:c r="BH97" s="13" t="str">
        <x:f>IF(BE97&lt;5,"Y",IF(BE97&lt;6.5,"TB",IF(BE97&lt;8,"K",IF(BE97&lt;9,"G","XS"))))</x:f>
        <x:v>K</x:v>
      </x:c>
      <x:c r="BI97" s="13" t="str">
        <x:f>IF(BF97&lt;5,"Y",IF(BF97&lt;6.5,"TB",IF(BF97&lt;8,"K",IF(BF97&lt;9,"G","XS"))))</x:f>
        <x:v>K</x:v>
      </x:c>
      <x:c r="BJ97" s="13" t="str">
        <x:f>IF(BG97&lt;5,"Y",IF(BG97&lt;6.5,"TB",IF(BG97&lt;8,"K",IF(BG97&lt;9,"G","XS"))))</x:f>
        <x:v>K</x:v>
      </x:c>
      <x:c r="BK97" s="11" t="n">
        <x:f>ROUND((BE97/10)*4,2)</x:f>
        <x:v>2.6</x:v>
      </x:c>
      <x:c r="BL97" s="11" t="n">
        <x:f>ROUND((BF97/10)*4,2)</x:f>
        <x:v>2.78</x:v>
      </x:c>
      <x:c r="BM97" s="11" t="n">
        <x:f>ROUND((BG97/10)*4,2)</x:f>
        <x:v>2.67</x:v>
      </x:c>
      <x:c r="BN97" s="13" t="n">
        <x:f>IF(IF(OR(BD97="A",BD97="A1"),(BA97*2+BB97+BC97)/4,IF(BD97="B",(BA97+BB97*2+BC97)/4,(BA97+BB97+BC97)/3))&gt;=5,1,0)</x:f>
        <x:v>0</x:v>
      </x:c>
    </x:row>
    <x:row r="98">
      <x:c r="A98" s="1" t="s">
        <x:v>299</x:v>
      </x:c>
      <x:c r="B98" s="1" t="s">
        <x:v>176</x:v>
      </x:c>
      <x:c r="C98" s="1" t="s">
        <x:v>127</x:v>
      </x:c>
      <x:c r="D98" s="1" t="s">
        <x:v>125</x:v>
      </x:c>
      <x:c r="E98" s="1" t="s">
        <x:v>186</x:v>
      </x:c>
      <x:c r="F98" s="1" t="s">
        <x:v>136</x:v>
      </x:c>
      <x:c r="G98" s="1" t="s">
        <x:v>121</x:v>
      </x:c>
      <x:c r="H98" s="1" t="s">
        <x:v>114</x:v>
      </x:c>
      <x:c r="I98" s="1" t="s">
        <x:v>133</x:v>
      </x:c>
      <x:c r="J98" s="1" t="s">
        <x:v>120</x:v>
      </x:c>
      <x:c r="K98" s="1" t="s">
        <x:v>164</x:v>
      </x:c>
      <x:c r="L98" s="1" t="s">
        <x:v>135</x:v>
      </x:c>
      <x:c r="M98" s="1" t="s">
        <x:v>114</x:v>
      </x:c>
      <x:c r="N98" s="1" t="s">
        <x:v>116</x:v>
      </x:c>
      <x:c r="O98" s="1" t="s">
        <x:v>114</x:v>
      </x:c>
      <x:c r="P98" s="1" t="s">
        <x:v>127</x:v>
      </x:c>
      <x:c r="Q98" s="1" t="s">
        <x:v>136</x:v>
      </x:c>
      <x:c r="R98" s="1" t="s">
        <x:v>174</x:v>
      </x:c>
      <x:c r="S98" s="1" t="s">
        <x:v>131</x:v>
      </x:c>
      <x:c r="T98" s="1" t="s">
        <x:v>130</x:v>
      </x:c>
      <x:c r="U98" s="1" t="s">
        <x:v>174</x:v>
      </x:c>
      <x:c r="V98" s="1" t="s">
        <x:v>164</x:v>
      </x:c>
      <x:c r="W98" s="1" t="s">
        <x:v>128</x:v>
      </x:c>
      <x:c r="X98" s="1" t="s">
        <x:v>123</x:v>
      </x:c>
      <x:c r="Y98" s="1" t="s">
        <x:v>165</x:v>
      </x:c>
      <x:c r="Z98" s="1" t="s">
        <x:v>159</x:v>
      </x:c>
      <x:c r="AA98" s="1" t="s">
        <x:v>164</x:v>
      </x:c>
      <x:c r="AB98" s="1" t="s">
        <x:v>161</x:v>
      </x:c>
      <x:c r="AC98" s="1" t="s">
        <x:v>175</x:v>
      </x:c>
      <x:c r="AD98" s="1" t="s">
        <x:v>165</x:v>
      </x:c>
      <x:c r="AE98" s="1" t="s">
        <x:v>129</x:v>
      </x:c>
      <x:c r="AF98" s="1" t="s">
        <x:v>164</x:v>
      </x:c>
      <x:c r="AG98" s="1" t="s">
        <x:v>181</x:v>
      </x:c>
      <x:c r="AH98" s="1" t="s">
        <x:v>117</x:v>
      </x:c>
      <x:c r="AI98" s="1" t="s">
        <x:v>159</x:v>
      </x:c>
      <x:c r="AJ98" s="1" t="s">
        <x:v>113</x:v>
      </x:c>
      <x:c r="AK98" s="1" t="s">
        <x:v>132</x:v>
      </x:c>
      <x:c r="AL98" s="1" t="s">
        <x:v>113</x:v>
      </x:c>
      <x:c r="AM98" s="1" t="s">
        <x:v>147</x:v>
      </x:c>
      <x:c r="AN98" s="1" t="s">
        <x:v>126</x:v>
      </x:c>
      <x:c r="AO98" s="1" t="s">
        <x:v>126</x:v>
      </x:c>
      <x:c r="AP98" s="1" t="s">
        <x:v>123</x:v>
      </x:c>
      <x:c r="AQ98" s="1" t="s">
        <x:v>127</x:v>
      </x:c>
      <x:c r="AR98" s="1" t="s">
        <x:v>125</x:v>
      </x:c>
      <x:c r="AS98" s="1" t="s">
        <x:v>116</x:v>
      </x:c>
      <x:c r="AT98" s="1" t="s">
        <x:v>136</x:v>
      </x:c>
      <x:c r="AU98" s="1" t="s">
        <x:v>115</x:v>
      </x:c>
      <x:c r="AV98" s="1" t="s">
        <x:v>132</x:v>
      </x:c>
      <x:c r="AW98" s="1" t="s">
        <x:v>166</x:v>
      </x:c>
      <x:c r="AX98" s="1" t="s">
        <x:v>137</x:v>
      </x:c>
      <x:c r="AY98" s="1" t="s">
        <x:v>138</x:v>
      </x:c>
      <x:c r="AZ98" s="1" t="s">
        <x:v>112</x:v>
      </x:c>
      <x:c r="BA98" s="1" t="s">
        <x:v>173</x:v>
      </x:c>
      <x:c r="BB98" s="1" t="s">
        <x:v>187</x:v>
      </x:c>
      <x:c r="BC98" s="1" t="s">
        <x:v>270</x:v>
      </x:c>
      <x:c r="BD98" s="1" t="s">
        <x:v>163</x:v>
      </x:c>
      <x:c r="BE98" s="11" t="n">
        <x:f>ROUND((((B98*2+C98+D98+E98+F98*2+G98+H98+I98)/10)+((J98*2+K98+L98+M98+N98*2+O98+P98+Q98)/10)*2)/3,2)</x:f>
        <x:v>7.42</x:v>
      </x:c>
      <x:c r="BF98" s="11" t="n">
        <x:f>ROUND((((R98*2+S98+T98+U98+V98*2+W98+X98+Y98)/10)+((Z98*2+AA98+AB98+AC98+AD98*2+AE98+AF98+AG98)/10)*2)/3,2)</x:f>
        <x:v>7.09</x:v>
      </x:c>
      <x:c r="BG98" s="11" t="n">
        <x:f>ROUND((((AH98*2+AI98+AJ98+AK98+AL98*2+AM98+AN98+AO98)/10)+((AP98*2+AQ98+AR98+AS98+AT98*2+AU98+AV98+AW98)/10)*2)/3,2)</x:f>
        <x:v>6.75</x:v>
      </x:c>
      <x:c r="BH98" s="13" t="str">
        <x:f>IF(BE98&lt;5,"Y",IF(BE98&lt;6.5,"TB",IF(BE98&lt;8,"K",IF(BE98&lt;9,"G","XS"))))</x:f>
        <x:v>K</x:v>
      </x:c>
      <x:c r="BI98" s="13" t="str">
        <x:f>IF(BF98&lt;5,"Y",IF(BF98&lt;6.5,"TB",IF(BF98&lt;8,"K",IF(BF98&lt;9,"G","XS"))))</x:f>
        <x:v>K</x:v>
      </x:c>
      <x:c r="BJ98" s="13" t="str">
        <x:f>IF(BG98&lt;5,"Y",IF(BG98&lt;6.5,"TB",IF(BG98&lt;8,"K",IF(BG98&lt;9,"G","XS"))))</x:f>
        <x:v>K</x:v>
      </x:c>
      <x:c r="BK98" s="11" t="n">
        <x:f>ROUND((BE98/10)*4,2)</x:f>
        <x:v>2.97</x:v>
      </x:c>
      <x:c r="BL98" s="11" t="n">
        <x:f>ROUND((BF98/10)*4,2)</x:f>
        <x:v>2.84</x:v>
      </x:c>
      <x:c r="BM98" s="11" t="n">
        <x:f>ROUND((BG98/10)*4,2)</x:f>
        <x:v>2.7</x:v>
      </x:c>
      <x:c r="BN98" s="13" t="n">
        <x:f>IF(IF(OR(BD98="A",BD98="A1"),(BA98*2+BB98+BC98)/4,IF(BD98="B",(BA98+BB98*2+BC98)/4,(BA98+BB98+BC98)/3))&gt;=5,1,0)</x:f>
        <x:v>0</x:v>
      </x:c>
    </x:row>
    <x:row r="99">
      <x:c r="A99" s="1" t="s">
        <x:v>300</x:v>
      </x:c>
      <x:c r="B99" s="1" t="s">
        <x:v>153</x:v>
      </x:c>
      <x:c r="C99" s="1" t="s">
        <x:v>144</x:v>
      </x:c>
      <x:c r="D99" s="1" t="s">
        <x:v>161</x:v>
      </x:c>
      <x:c r="E99" s="1" t="s">
        <x:v>156</x:v>
      </x:c>
      <x:c r="F99" s="1" t="s">
        <x:v>118</x:v>
      </x:c>
      <x:c r="G99" s="1" t="s">
        <x:v>145</x:v>
      </x:c>
      <x:c r="H99" s="1" t="s">
        <x:v>132</x:v>
      </x:c>
      <x:c r="I99" s="1" t="s">
        <x:v>154</x:v>
      </x:c>
      <x:c r="J99" s="1" t="s">
        <x:v>169</x:v>
      </x:c>
      <x:c r="K99" s="1" t="s">
        <x:v>170</x:v>
      </x:c>
      <x:c r="L99" s="1" t="s">
        <x:v>156</x:v>
      </x:c>
      <x:c r="M99" s="1" t="s">
        <x:v>150</x:v>
      </x:c>
      <x:c r="N99" s="1" t="s">
        <x:v>130</x:v>
      </x:c>
      <x:c r="O99" s="1" t="s">
        <x:v>127</x:v>
      </x:c>
      <x:c r="P99" s="1" t="s">
        <x:v>158</x:v>
      </x:c>
      <x:c r="Q99" s="1" t="s">
        <x:v>144</x:v>
      </x:c>
      <x:c r="R99" s="1" t="s">
        <x:v>227</x:v>
      </x:c>
      <x:c r="S99" s="1" t="s">
        <x:v>227</x:v>
      </x:c>
      <x:c r="T99" s="1" t="s">
        <x:v>147</x:v>
      </x:c>
      <x:c r="U99" s="1" t="s">
        <x:v>121</x:v>
      </x:c>
      <x:c r="V99" s="1" t="s">
        <x:v>131</x:v>
      </x:c>
      <x:c r="W99" s="1" t="s">
        <x:v>144</x:v>
      </x:c>
      <x:c r="X99" s="1" t="s">
        <x:v>123</x:v>
      </x:c>
      <x:c r="Y99" s="1" t="s">
        <x:v>195</x:v>
      </x:c>
      <x:c r="Z99" s="1" t="s">
        <x:v>199</x:v>
      </x:c>
      <x:c r="AA99" s="1" t="s">
        <x:v>155</x:v>
      </x:c>
      <x:c r="AB99" s="1" t="s">
        <x:v>130</x:v>
      </x:c>
      <x:c r="AC99" s="1" t="s">
        <x:v>127</x:v>
      </x:c>
      <x:c r="AD99" s="1" t="s">
        <x:v>131</x:v>
      </x:c>
      <x:c r="AE99" s="1" t="s">
        <x:v>168</x:v>
      </x:c>
      <x:c r="AF99" s="1" t="s">
        <x:v>133</x:v>
      </x:c>
      <x:c r="AG99" s="1" t="s">
        <x:v>151</x:v>
      </x:c>
      <x:c r="AH99" s="1" t="s">
        <x:v>118</x:v>
      </x:c>
      <x:c r="AI99" s="1" t="s">
        <x:v>150</x:v>
      </x:c>
      <x:c r="AJ99" s="1" t="s">
        <x:v>158</x:v>
      </x:c>
      <x:c r="AK99" s="1" t="s">
        <x:v>199</x:v>
      </x:c>
      <x:c r="AL99" s="1" t="s">
        <x:v>127</x:v>
      </x:c>
      <x:c r="AM99" s="1" t="s">
        <x:v>136</x:v>
      </x:c>
      <x:c r="AN99" s="1" t="s">
        <x:v>125</x:v>
      </x:c>
      <x:c r="AO99" s="1" t="s">
        <x:v>155</x:v>
      </x:c>
      <x:c r="AP99" s="1" t="s">
        <x:v>133</x:v>
      </x:c>
      <x:c r="AQ99" s="1" t="s">
        <x:v>174</x:v>
      </x:c>
      <x:c r="AR99" s="1" t="s">
        <x:v>134</x:v>
      </x:c>
      <x:c r="AS99" s="1" t="s">
        <x:v>116</x:v>
      </x:c>
      <x:c r="AT99" s="1" t="s">
        <x:v>135</x:v>
      </x:c>
      <x:c r="AU99" s="1" t="s">
        <x:v>117</x:v>
      </x:c>
      <x:c r="AV99" s="1" t="s">
        <x:v>165</x:v>
      </x:c>
      <x:c r="AW99" s="1" t="s">
        <x:v>154</x:v>
      </x:c>
      <x:c r="AX99" s="1" t="s">
        <x:v>137</x:v>
      </x:c>
      <x:c r="AY99" s="1" t="s">
        <x:v>138</x:v>
      </x:c>
      <x:c r="AZ99" s="1" t="s">
        <x:v>112</x:v>
      </x:c>
      <x:c r="BA99" s="1" t="s">
        <x:v>173</x:v>
      </x:c>
      <x:c r="BB99" s="1" t="s">
        <x:v>188</x:v>
      </x:c>
      <x:c r="BC99" s="1" t="s">
        <x:v>190</x:v>
      </x:c>
      <x:c r="BD99" s="1" t="s">
        <x:v>163</x:v>
      </x:c>
      <x:c r="BE99" s="11" t="n">
        <x:f>ROUND((((B99*2+C99+D99+E99+F99*2+G99+H99+I99)/10)+((J99*2+K99+L99+M99+N99*2+O99+P99+Q99)/10)*2)/3,2)</x:f>
        <x:v>5.08</x:v>
      </x:c>
      <x:c r="BF99" s="11" t="n">
        <x:f>ROUND((((R99*2+S99+T99+U99+V99*2+W99+X99+Y99)/10)+((Z99*2+AA99+AB99+AC99+AD99*2+AE99+AF99+AG99)/10)*2)/3,2)</x:f>
        <x:v>5.07</x:v>
      </x:c>
      <x:c r="BG99" s="11" t="n">
        <x:f>ROUND((((AH99*2+AI99+AJ99+AK99+AL99*2+AM99+AN99+AO99)/10)+((AP99*2+AQ99+AR99+AS99+AT99*2+AU99+AV99+AW99)/10)*2)/3,2)</x:f>
        <x:v>6.17</x:v>
      </x:c>
      <x:c r="BH99" s="13" t="str">
        <x:f>IF(BE99&lt;5,"Y",IF(BE99&lt;6.5,"TB",IF(BE99&lt;8,"K",IF(BE99&lt;9,"G","XS"))))</x:f>
        <x:v>TB</x:v>
      </x:c>
      <x:c r="BI99" s="13" t="str">
        <x:f>IF(BF99&lt;5,"Y",IF(BF99&lt;6.5,"TB",IF(BF99&lt;8,"K",IF(BF99&lt;9,"G","XS"))))</x:f>
        <x:v>TB</x:v>
      </x:c>
      <x:c r="BJ99" s="13" t="str">
        <x:f>IF(BG99&lt;5,"Y",IF(BG99&lt;6.5,"TB",IF(BG99&lt;8,"K",IF(BG99&lt;9,"G","XS"))))</x:f>
        <x:v>TB</x:v>
      </x:c>
      <x:c r="BK99" s="11" t="n">
        <x:f>ROUND((BE99/10)*4,2)</x:f>
        <x:v>2.03</x:v>
      </x:c>
      <x:c r="BL99" s="11" t="n">
        <x:f>ROUND((BF99/10)*4,2)</x:f>
        <x:v>2.03</x:v>
      </x:c>
      <x:c r="BM99" s="11" t="n">
        <x:f>ROUND((BG99/10)*4,2)</x:f>
        <x:v>2.47</x:v>
      </x:c>
      <x:c r="BN99" s="13" t="n">
        <x:f>IF(IF(OR(BD99="A",BD99="A1"),(BA99*2+BB99+BC99)/4,IF(BD99="B",(BA99+BB99*2+BC99)/4,(BA99+BB99+BC99)/3))&gt;=5,1,0)</x:f>
        <x:v>0</x:v>
      </x:c>
    </x:row>
    <x:row r="100">
      <x:c r="A100" s="1" t="s">
        <x:v>301</x:v>
      </x:c>
      <x:c r="B100" s="1" t="s">
        <x:v>186</x:v>
      </x:c>
      <x:c r="C100" s="1" t="s">
        <x:v>118</x:v>
      </x:c>
      <x:c r="D100" s="1" t="s">
        <x:v>125</x:v>
      </x:c>
      <x:c r="E100" s="1" t="s">
        <x:v>174</x:v>
      </x:c>
      <x:c r="F100" s="1" t="s">
        <x:v>166</x:v>
      </x:c>
      <x:c r="G100" s="1" t="s">
        <x:v>114</x:v>
      </x:c>
      <x:c r="H100" s="1" t="s">
        <x:v>128</x:v>
      </x:c>
      <x:c r="I100" s="1" t="s">
        <x:v>141</x:v>
      </x:c>
      <x:c r="J100" s="1" t="s">
        <x:v>254</x:v>
      </x:c>
      <x:c r="K100" s="1" t="s">
        <x:v>114</x:v>
      </x:c>
      <x:c r="L100" s="1" t="s">
        <x:v>161</x:v>
      </x:c>
      <x:c r="M100" s="1" t="s">
        <x:v>119</x:v>
      </x:c>
      <x:c r="N100" s="1" t="s">
        <x:v>116</x:v>
      </x:c>
      <x:c r="O100" s="1" t="s">
        <x:v>119</x:v>
      </x:c>
      <x:c r="P100" s="1" t="s">
        <x:v>186</x:v>
      </x:c>
      <x:c r="Q100" s="1" t="s">
        <x:v>135</x:v>
      </x:c>
      <x:c r="R100" s="1" t="s">
        <x:v>254</x:v>
      </x:c>
      <x:c r="S100" s="1" t="s">
        <x:v>123</x:v>
      </x:c>
      <x:c r="T100" s="1" t="s">
        <x:v>168</x:v>
      </x:c>
      <x:c r="U100" s="1" t="s">
        <x:v>136</x:v>
      </x:c>
      <x:c r="V100" s="1" t="s">
        <x:v>116</x:v>
      </x:c>
      <x:c r="W100" s="1" t="s">
        <x:v>180</x:v>
      </x:c>
      <x:c r="X100" s="1" t="s">
        <x:v>179</x:v>
      </x:c>
      <x:c r="Y100" s="1" t="s">
        <x:v>159</x:v>
      </x:c>
      <x:c r="Z100" s="1" t="s">
        <x:v>184</x:v>
      </x:c>
      <x:c r="AA100" s="1" t="s">
        <x:v>127</x:v>
      </x:c>
      <x:c r="AB100" s="1" t="s">
        <x:v>121</x:v>
      </x:c>
      <x:c r="AC100" s="1" t="s">
        <x:v>119</x:v>
      </x:c>
      <x:c r="AD100" s="1" t="s">
        <x:v>177</x:v>
      </x:c>
      <x:c r="AE100" s="1" t="s">
        <x:v>120</x:v>
      </x:c>
      <x:c r="AF100" s="1" t="s">
        <x:v>180</x:v>
      </x:c>
      <x:c r="AG100" s="1" t="s">
        <x:v>129</x:v>
      </x:c>
      <x:c r="AH100" s="1" t="s">
        <x:v>122</x:v>
      </x:c>
      <x:c r="AI100" s="1" t="s">
        <x:v>129</x:v>
      </x:c>
      <x:c r="AJ100" s="1" t="s">
        <x:v>159</x:v>
      </x:c>
      <x:c r="AK100" s="1" t="s">
        <x:v>133</x:v>
      </x:c>
      <x:c r="AL100" s="1" t="s">
        <x:v>127</x:v>
      </x:c>
      <x:c r="AM100" s="1" t="s">
        <x:v>176</x:v>
      </x:c>
      <x:c r="AN100" s="1" t="s">
        <x:v>176</x:v>
      </x:c>
      <x:c r="AO100" s="1" t="s">
        <x:v>130</x:v>
      </x:c>
      <x:c r="AP100" s="1" t="s">
        <x:v>184</x:v>
      </x:c>
      <x:c r="AQ100" s="1" t="s">
        <x:v>129</x:v>
      </x:c>
      <x:c r="AR100" s="1" t="s">
        <x:v>166</x:v>
      </x:c>
      <x:c r="AS100" s="1" t="s">
        <x:v>176</x:v>
      </x:c>
      <x:c r="AT100" s="1" t="s">
        <x:v>116</x:v>
      </x:c>
      <x:c r="AU100" s="1" t="s">
        <x:v>180</x:v>
      </x:c>
      <x:c r="AV100" s="1" t="s">
        <x:v>119</x:v>
      </x:c>
      <x:c r="AW100" s="1" t="s">
        <x:v>121</x:v>
      </x:c>
      <x:c r="AX100" s="1" t="s">
        <x:v>160</x:v>
      </x:c>
      <x:c r="AY100" s="1" t="s">
        <x:v>138</x:v>
      </x:c>
      <x:c r="AZ100" s="1" t="s">
        <x:v>139</x:v>
      </x:c>
      <x:c r="BA100" s="1" t="s">
        <x:v>116</x:v>
      </x:c>
      <x:c r="BB100" s="1" t="s">
        <x:v>177</x:v>
      </x:c>
      <x:c r="BC100" s="1" t="s">
        <x:v>146</x:v>
      </x:c>
      <x:c r="BD100" s="1" t="s">
        <x:v>163</x:v>
      </x:c>
      <x:c r="BE100" s="11" t="n">
        <x:f>ROUND((((B100*2+C100+D100+E100+F100*2+G100+H100+I100)/10)+((J100*2+K100+L100+M100+N100*2+O100+P100+Q100)/10)*2)/3,2)</x:f>
        <x:v>7.58</x:v>
      </x:c>
      <x:c r="BF100" s="11" t="n">
        <x:f>ROUND((((R100*2+S100+T100+U100+V100*2+W100+X100+Y100)/10)+((Z100*2+AA100+AB100+AC100+AD100*2+AE100+AF100+AG100)/10)*2)/3,2)</x:f>
        <x:v>7.95</x:v>
      </x:c>
      <x:c r="BG100" s="11" t="n">
        <x:f>ROUND((((AH100*2+AI100+AJ100+AK100+AL100*2+AM100+AN100+AO100)/10)+((AP100*2+AQ100+AR100+AS100+AT100*2+AU100+AV100+AW100)/10)*2)/3,2)</x:f>
        <x:v>7.59</x:v>
      </x:c>
      <x:c r="BH100" s="13" t="str">
        <x:f>IF(BE100&lt;5,"Y",IF(BE100&lt;6.5,"TB",IF(BE100&lt;8,"K",IF(BE100&lt;9,"G","XS"))))</x:f>
        <x:v>K</x:v>
      </x:c>
      <x:c r="BI100" s="13" t="str">
        <x:f>IF(BF100&lt;5,"Y",IF(BF100&lt;6.5,"TB",IF(BF100&lt;8,"K",IF(BF100&lt;9,"G","XS"))))</x:f>
        <x:v>K</x:v>
      </x:c>
      <x:c r="BJ100" s="13" t="str">
        <x:f>IF(BG100&lt;5,"Y",IF(BG100&lt;6.5,"TB",IF(BG100&lt;8,"K",IF(BG100&lt;9,"G","XS"))))</x:f>
        <x:v>K</x:v>
      </x:c>
      <x:c r="BK100" s="11" t="n">
        <x:f>ROUND((BE100/10)*4,2)</x:f>
        <x:v>3.03</x:v>
      </x:c>
      <x:c r="BL100" s="11" t="n">
        <x:f>ROUND((BF100/10)*4,2)</x:f>
        <x:v>3.18</x:v>
      </x:c>
      <x:c r="BM100" s="11" t="n">
        <x:f>ROUND((BG100/10)*4,2)</x:f>
        <x:v>3.04</x:v>
      </x:c>
      <x:c r="BN100" s="13" t="n">
        <x:f>IF(IF(OR(BD100="A",BD100="A1"),(BA100*2+BB100+BC100)/4,IF(BD100="B",(BA100+BB100*2+BC100)/4,(BA100+BB100+BC100)/3))&gt;=5,1,0)</x:f>
        <x:v>1</x:v>
      </x:c>
    </x:row>
    <x:row r="101">
      <x:c r="A101" s="1" t="s">
        <x:v>302</x:v>
      </x:c>
      <x:c r="B101" s="1" t="s">
        <x:v>216</x:v>
      </x:c>
      <x:c r="C101" s="1" t="s">
        <x:v>303</x:v>
      </x:c>
      <x:c r="D101" s="1" t="s">
        <x:v>199</x:v>
      </x:c>
      <x:c r="E101" s="1" t="s">
        <x:v>147</x:v>
      </x:c>
      <x:c r="F101" s="1" t="s">
        <x:v>141</x:v>
      </x:c>
      <x:c r="G101" s="1" t="s">
        <x:v>117</x:v>
      </x:c>
      <x:c r="H101" s="1" t="s">
        <x:v>155</x:v>
      </x:c>
      <x:c r="I101" s="1" t="s">
        <x:v>152</x:v>
      </x:c>
      <x:c r="J101" s="1" t="s">
        <x:v>148</x:v>
      </x:c>
      <x:c r="K101" s="1" t="s">
        <x:v>133</x:v>
      </x:c>
      <x:c r="L101" s="1" t="s">
        <x:v>156</x:v>
      </x:c>
      <x:c r="M101" s="1" t="s">
        <x:v>134</x:v>
      </x:c>
      <x:c r="N101" s="1" t="s">
        <x:v>118</x:v>
      </x:c>
      <x:c r="O101" s="1" t="s">
        <x:v>123</x:v>
      </x:c>
      <x:c r="P101" s="1" t="s">
        <x:v>145</x:v>
      </x:c>
      <x:c r="Q101" s="1" t="s">
        <x:v>151</x:v>
      </x:c>
      <x:c r="R101" s="1" t="s">
        <x:v>166</x:v>
      </x:c>
      <x:c r="S101" s="1" t="s">
        <x:v>127</x:v>
      </x:c>
      <x:c r="T101" s="1" t="s">
        <x:v>136</x:v>
      </x:c>
      <x:c r="U101" s="1" t="s">
        <x:v>115</x:v>
      </x:c>
      <x:c r="V101" s="1" t="s">
        <x:v>150</x:v>
      </x:c>
      <x:c r="W101" s="1" t="s">
        <x:v>125</x:v>
      </x:c>
      <x:c r="X101" s="1" t="s">
        <x:v>130</x:v>
      </x:c>
      <x:c r="Y101" s="1" t="s">
        <x:v>133</x:v>
      </x:c>
      <x:c r="Z101" s="1" t="s">
        <x:v>126</x:v>
      </x:c>
      <x:c r="AA101" s="1" t="s">
        <x:v>156</x:v>
      </x:c>
      <x:c r="AB101" s="1" t="s">
        <x:v>164</x:v>
      </x:c>
      <x:c r="AC101" s="1" t="s">
        <x:v>131</x:v>
      </x:c>
      <x:c r="AD101" s="1" t="s">
        <x:v>152</x:v>
      </x:c>
      <x:c r="AE101" s="1" t="s">
        <x:v>130</x:v>
      </x:c>
      <x:c r="AF101" s="1" t="s">
        <x:v>159</x:v>
      </x:c>
      <x:c r="AG101" s="1" t="s">
        <x:v>154</x:v>
      </x:c>
      <x:c r="AH101" s="1" t="s">
        <x:v>169</x:v>
      </x:c>
      <x:c r="AI101" s="1" t="s">
        <x:v>147</x:v>
      </x:c>
      <x:c r="AJ101" s="1" t="s">
        <x:v>133</x:v>
      </x:c>
      <x:c r="AK101" s="1" t="s">
        <x:v>158</x:v>
      </x:c>
      <x:c r="AL101" s="1" t="s">
        <x:v>134</x:v>
      </x:c>
      <x:c r="AM101" s="1" t="s">
        <x:v>130</x:v>
      </x:c>
      <x:c r="AN101" s="1" t="s">
        <x:v>147</x:v>
      </x:c>
      <x:c r="AO101" s="1" t="s">
        <x:v>141</x:v>
      </x:c>
      <x:c r="AP101" s="1" t="s">
        <x:v>151</x:v>
      </x:c>
      <x:c r="AQ101" s="1" t="s">
        <x:v>131</x:v>
      </x:c>
      <x:c r="AR101" s="1" t="s">
        <x:v>115</x:v>
      </x:c>
      <x:c r="AS101" s="1" t="s">
        <x:v>150</x:v>
      </x:c>
      <x:c r="AT101" s="1" t="s">
        <x:v>134</x:v>
      </x:c>
      <x:c r="AU101" s="1" t="s">
        <x:v>123</x:v>
      </x:c>
      <x:c r="AV101" s="1" t="s">
        <x:v>126</x:v>
      </x:c>
      <x:c r="AW101" s="1" t="s">
        <x:v>130</x:v>
      </x:c>
      <x:c r="AX101" s="1" t="s">
        <x:v>160</x:v>
      </x:c>
      <x:c r="AY101" s="1" t="s">
        <x:v>138</x:v>
      </x:c>
      <x:c r="AZ101" s="1" t="s">
        <x:v>112</x:v>
      </x:c>
      <x:c r="BA101" s="1" t="s">
        <x:v>134</x:v>
      </x:c>
      <x:c r="BB101" s="1" t="s">
        <x:v>162</x:v>
      </x:c>
      <x:c r="BC101" s="1" t="s">
        <x:v>118</x:v>
      </x:c>
      <x:c r="BD101" s="1" t="s">
        <x:v>163</x:v>
      </x:c>
      <x:c r="BE101" s="11" t="n">
        <x:f>ROUND((((B101*2+C101+D101+E101+F101*2+G101+H101+I101)/10)+((J101*2+K101+L101+M101+N101*2+O101+P101+Q101)/10)*2)/3,2)</x:f>
        <x:v>4.53</x:v>
      </x:c>
      <x:c r="BF101" s="11" t="n">
        <x:f>ROUND((((R101*2+S101+T101+U101+V101*2+W101+X101+Y101)/10)+((Z101*2+AA101+AB101+AC101+AD101*2+AE101+AF101+AG101)/10)*2)/3,2)</x:f>
        <x:v>5.55</x:v>
      </x:c>
      <x:c r="BG101" s="11" t="n">
        <x:f>ROUND((((AH101*2+AI101+AJ101+AK101+AL101*2+AM101+AN101+AO101)/10)+((AP101*2+AQ101+AR101+AS101+AT101*2+AU101+AV101+AW101)/10)*2)/3,2)</x:f>
        <x:v>5.18</x:v>
      </x:c>
      <x:c r="BH101" s="13" t="str">
        <x:f>IF(BE101&lt;5,"Y",IF(BE101&lt;6.5,"TB",IF(BE101&lt;8,"K",IF(BE101&lt;9,"G","XS"))))</x:f>
        <x:v>Y</x:v>
      </x:c>
      <x:c r="BI101" s="13" t="str">
        <x:f>IF(BF101&lt;5,"Y",IF(BF101&lt;6.5,"TB",IF(BF101&lt;8,"K",IF(BF101&lt;9,"G","XS"))))</x:f>
        <x:v>TB</x:v>
      </x:c>
      <x:c r="BJ101" s="13" t="str">
        <x:f>IF(BG101&lt;5,"Y",IF(BG101&lt;6.5,"TB",IF(BG101&lt;8,"K",IF(BG101&lt;9,"G","XS"))))</x:f>
        <x:v>TB</x:v>
      </x:c>
      <x:c r="BK101" s="11" t="n">
        <x:f>ROUND((BE101/10)*4,2)</x:f>
        <x:v>1.81</x:v>
      </x:c>
      <x:c r="BL101" s="11" t="n">
        <x:f>ROUND((BF101/10)*4,2)</x:f>
        <x:v>2.22</x:v>
      </x:c>
      <x:c r="BM101" s="11" t="n">
        <x:f>ROUND((BG101/10)*4,2)</x:f>
        <x:v>2.07</x:v>
      </x:c>
      <x:c r="BN101" s="13" t="n">
        <x:f>IF(IF(OR(BD101="A",BD101="A1"),(BA101*2+BB101+BC101)/4,IF(BD101="B",(BA101+BB101*2+BC101)/4,(BA101+BB101+BC101)/3))&gt;=5,1,0)</x:f>
        <x:v>0</x:v>
      </x:c>
    </x:row>
    <x:row r="102">
      <x:c r="A102" s="1" t="s">
        <x:v>304</x:v>
      </x:c>
      <x:c r="B102" s="1" t="s">
        <x:v>169</x:v>
      </x:c>
      <x:c r="C102" s="1" t="s">
        <x:v>126</x:v>
      </x:c>
      <x:c r="D102" s="1" t="s">
        <x:v>155</x:v>
      </x:c>
      <x:c r="E102" s="1" t="s">
        <x:v>147</x:v>
      </x:c>
      <x:c r="F102" s="1" t="s">
        <x:v>118</x:v>
      </x:c>
      <x:c r="G102" s="1" t="s">
        <x:v>144</x:v>
      </x:c>
      <x:c r="H102" s="1" t="s">
        <x:v>113</x:v>
      </x:c>
      <x:c r="I102" s="1" t="s">
        <x:v>144</x:v>
      </x:c>
      <x:c r="J102" s="1" t="s">
        <x:v>154</x:v>
      </x:c>
      <x:c r="K102" s="1" t="s">
        <x:v>168</x:v>
      </x:c>
      <x:c r="L102" s="1" t="s">
        <x:v>170</x:v>
      </x:c>
      <x:c r="M102" s="1" t="s">
        <x:v>113</x:v>
      </x:c>
      <x:c r="N102" s="1" t="s">
        <x:v>161</x:v>
      </x:c>
      <x:c r="O102" s="1" t="s">
        <x:v>115</x:v>
      </x:c>
      <x:c r="P102" s="1" t="s">
        <x:v>164</x:v>
      </x:c>
      <x:c r="Q102" s="1" t="s">
        <x:v>155</x:v>
      </x:c>
      <x:c r="R102" s="1" t="s">
        <x:v>161</x:v>
      </x:c>
      <x:c r="S102" s="1" t="s">
        <x:v>155</x:v>
      </x:c>
      <x:c r="T102" s="1" t="s">
        <x:v>195</x:v>
      </x:c>
      <x:c r="U102" s="1" t="s">
        <x:v>168</x:v>
      </x:c>
      <x:c r="V102" s="1" t="s">
        <x:v>133</x:v>
      </x:c>
      <x:c r="W102" s="1" t="s">
        <x:v>164</x:v>
      </x:c>
      <x:c r="X102" s="1" t="s">
        <x:v>129</x:v>
      </x:c>
      <x:c r="Y102" s="1" t="s">
        <x:v>166</x:v>
      </x:c>
      <x:c r="Z102" s="1" t="s">
        <x:v>151</x:v>
      </x:c>
      <x:c r="AA102" s="1" t="s">
        <x:v>155</x:v>
      </x:c>
      <x:c r="AB102" s="1" t="s">
        <x:v>147</x:v>
      </x:c>
      <x:c r="AC102" s="1" t="s">
        <x:v>135</x:v>
      </x:c>
      <x:c r="AD102" s="1" t="s">
        <x:v>133</x:v>
      </x:c>
      <x:c r="AE102" s="1" t="s">
        <x:v>164</x:v>
      </x:c>
      <x:c r="AF102" s="1" t="s">
        <x:v>125</x:v>
      </x:c>
      <x:c r="AG102" s="1" t="s">
        <x:v>121</x:v>
      </x:c>
      <x:c r="AH102" s="1" t="s">
        <x:v>131</x:v>
      </x:c>
      <x:c r="AI102" s="1" t="s">
        <x:v>166</x:v>
      </x:c>
      <x:c r="AJ102" s="1" t="s">
        <x:v>161</x:v>
      </x:c>
      <x:c r="AK102" s="1" t="s">
        <x:v>150</x:v>
      </x:c>
      <x:c r="AL102" s="1" t="s">
        <x:v>133</x:v>
      </x:c>
      <x:c r="AM102" s="1" t="s">
        <x:v>117</x:v>
      </x:c>
      <x:c r="AN102" s="1" t="s">
        <x:v>127</x:v>
      </x:c>
      <x:c r="AO102" s="1" t="s">
        <x:v>150</x:v>
      </x:c>
      <x:c r="AP102" s="1" t="s">
        <x:v>156</x:v>
      </x:c>
      <x:c r="AQ102" s="1" t="s">
        <x:v>168</x:v>
      </x:c>
      <x:c r="AR102" s="1" t="s">
        <x:v>130</x:v>
      </x:c>
      <x:c r="AS102" s="1" t="s">
        <x:v>144</x:v>
      </x:c>
      <x:c r="AT102" s="1" t="s">
        <x:v>115</x:v>
      </x:c>
      <x:c r="AU102" s="1" t="s">
        <x:v>131</x:v>
      </x:c>
      <x:c r="AV102" s="1" t="s">
        <x:v>123</x:v>
      </x:c>
      <x:c r="AW102" s="1" t="s">
        <x:v>121</x:v>
      </x:c>
      <x:c r="AX102" s="1" t="s">
        <x:v>160</x:v>
      </x:c>
      <x:c r="AY102" s="1" t="s">
        <x:v>138</x:v>
      </x:c>
      <x:c r="AZ102" s="1" t="s">
        <x:v>139</x:v>
      </x:c>
      <x:c r="BA102" s="1" t="s">
        <x:v>173</x:v>
      </x:c>
      <x:c r="BB102" s="1" t="s">
        <x:v>167</x:v>
      </x:c>
      <x:c r="BC102" s="1" t="s">
        <x:v>172</x:v>
      </x:c>
      <x:c r="BD102" s="1" t="s">
        <x:v>163</x:v>
      </x:c>
      <x:c r="BE102" s="11" t="n">
        <x:f>ROUND((((B102*2+C102+D102+E102+F102*2+G102+H102+I102)/10)+((J102*2+K102+L102+M102+N102*2+O102+P102+Q102)/10)*2)/3,2)</x:f>
        <x:v>5.57</x:v>
      </x:c>
      <x:c r="BF102" s="11" t="n">
        <x:f>ROUND((((R102*2+S102+T102+U102+V102*2+W102+X102+Y102)/10)+((Z102*2+AA102+AB102+AC102+AD102*2+AE102+AF102+AG102)/10)*2)/3,2)</x:f>
        <x:v>5.75</x:v>
      </x:c>
      <x:c r="BG102" s="11" t="n">
        <x:f>ROUND((((AH102*2+AI102+AJ102+AK102+AL102*2+AM102+AN102+AO102)/10)+((AP102*2+AQ102+AR102+AS102+AT102*2+AU102+AV102+AW102)/10)*2)/3,2)</x:f>
        <x:v>5.87</x:v>
      </x:c>
      <x:c r="BH102" s="13" t="str">
        <x:f>IF(BE102&lt;5,"Y",IF(BE102&lt;6.5,"TB",IF(BE102&lt;8,"K",IF(BE102&lt;9,"G","XS"))))</x:f>
        <x:v>TB</x:v>
      </x:c>
      <x:c r="BI102" s="13" t="str">
        <x:f>IF(BF102&lt;5,"Y",IF(BF102&lt;6.5,"TB",IF(BF102&lt;8,"K",IF(BF102&lt;9,"G","XS"))))</x:f>
        <x:v>TB</x:v>
      </x:c>
      <x:c r="BJ102" s="13" t="str">
        <x:f>IF(BG102&lt;5,"Y",IF(BG102&lt;6.5,"TB",IF(BG102&lt;8,"K",IF(BG102&lt;9,"G","XS"))))</x:f>
        <x:v>TB</x:v>
      </x:c>
      <x:c r="BK102" s="11" t="n">
        <x:f>ROUND((BE102/10)*4,2)</x:f>
        <x:v>2.23</x:v>
      </x:c>
      <x:c r="BL102" s="11" t="n">
        <x:f>ROUND((BF102/10)*4,2)</x:f>
        <x:v>2.3</x:v>
      </x:c>
      <x:c r="BM102" s="11" t="n">
        <x:f>ROUND((BG102/10)*4,2)</x:f>
        <x:v>2.35</x:v>
      </x:c>
      <x:c r="BN102" s="13" t="n">
        <x:f>IF(IF(OR(BD102="A",BD102="A1"),(BA102*2+BB102+BC102)/4,IF(BD102="B",(BA102+BB102*2+BC102)/4,(BA102+BB102+BC102)/3))&gt;=5,1,0)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0a0dfed5e74c74"/>
  </x:tableParts>
</x:worksheet>
</file>

<file path=xl/worksheets/sheet2.xml><?xml version="1.0" encoding="utf-8"?>
<x:worksheet xmlns:x="http://schemas.openxmlformats.org/spreadsheetml/2006/main">
  <x:sheetFormatPr defaultRowHeight="14.5"/>
  <x:sheetData/>
  <x:pageMargins left="0.7" right="0.7" top="0.75" bottom="0.75" header="0.3" footer="0.3"/>
</x:worksheet>
</file>